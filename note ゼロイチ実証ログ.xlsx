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募集要項" sheetId="1" state="visible" r:id="rId1"/>
    <sheet name="②設問設計" sheetId="2" state="visible" r:id="rId2"/>
    <sheet name="③日次ログ" sheetId="3" state="visible" r:id="rId3"/>
    <sheet name="④完了サマリ" sheetId="4" state="visible" r:id="rId4"/>
    <sheet name="⑤実証結果集計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Calibri"/>
      <color rgb="00808080"/>
      <sz val="9"/>
    </font>
    <font>
      <name val="Arial"/>
      <b val="1"/>
      <sz val="10"/>
    </font>
    <font>
      <name val="Calibri"/>
      <sz val="10"/>
    </font>
    <font>
      <name val="Arial"/>
      <b val="1"/>
      <color rgb="00FFFFFF"/>
      <sz val="10"/>
    </font>
    <font>
      <name val="Calibri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1" pivotButton="0" quotePrefix="0" xfId="0"/>
    <xf numFmtId="0" fontId="4" fillId="5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1"/>
  <sheetViews>
    <sheetView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60" customWidth="1" min="3" max="3"/>
    <col width="48" customWidth="1" min="4" max="4"/>
  </cols>
  <sheetData>
    <row r="2">
      <c r="B2" s="1" t="inlineStr">
        <is>
          <t>note ゼロイチ実証モニター 募集要項・参加条件</t>
        </is>
      </c>
    </row>
    <row r="3">
      <c r="B3" s="2" t="inlineStr">
        <is>
          <t>※ 募集文の下書きです。実際の募集時にコピーして使用してください。</t>
        </is>
      </c>
    </row>
    <row r="5">
      <c r="B5" s="3" t="inlineStr">
        <is>
          <t>このモニターの位置づけ</t>
        </is>
      </c>
    </row>
    <row r="6">
      <c r="B6" s="4" t="inlineStr">
        <is>
          <t>・目的は「成功させること」ではなく、手順を改善して再現性を高めること（PDCAのC→A）。</t>
        </is>
      </c>
    </row>
    <row r="7">
      <c r="B7" s="4" t="inlineStr">
        <is>
          <t>・したがって達成率そのものは評価対象にしない。達成しなかった場合の記録が最も価値が高い。</t>
        </is>
      </c>
    </row>
    <row r="8">
      <c r="B8" s="4" t="inlineStr">
        <is>
          <t>・第1陣で穴を潰し、改善後の第2陣の結果を実証数字として扱う。</t>
        </is>
      </c>
    </row>
    <row r="10">
      <c r="B10" s="3" t="inlineStr">
        <is>
          <t>段階投入の設計</t>
        </is>
      </c>
    </row>
    <row r="11">
      <c r="B11" s="5" t="inlineStr">
        <is>
          <t>段階</t>
        </is>
      </c>
      <c r="C11" s="5" t="inlineStr">
        <is>
          <t>人数</t>
        </is>
      </c>
      <c r="D11" s="5" t="inlineStr">
        <is>
          <t>目的・扱い</t>
        </is>
      </c>
    </row>
    <row r="12" ht="34" customHeight="1">
      <c r="B12" s="6" t="inlineStr">
        <is>
          <t>0. 自分</t>
        </is>
      </c>
      <c r="C12" s="7" t="inlineStr">
        <is>
          <t>1名（本人）</t>
        </is>
      </c>
      <c r="D12" s="7" t="inlineStr">
        <is>
          <t>新規0フォロワーアカウントで完走し、手順を体系化する。あわせて自分の作業時間を計測し、参加条件の「1日の作業時間」をここで確定させる。</t>
        </is>
      </c>
    </row>
    <row r="13" ht="34" customHeight="1">
      <c r="B13" s="6" t="inlineStr">
        <is>
          <t>1. 第1陣</t>
        </is>
      </c>
      <c r="C13" s="7" t="inlineStr">
        <is>
          <t>3名</t>
        </is>
      </c>
      <c r="D13" s="7" t="inlineStr">
        <is>
          <t>教材の穴出しが目的。達成率は実証数字に含めない。Claude Codeの1週間無料体験を提供できるのはこの枠。</t>
        </is>
      </c>
    </row>
    <row r="14" ht="34" customHeight="1">
      <c r="B14" s="6" t="inlineStr">
        <is>
          <t>2. 改善</t>
        </is>
      </c>
      <c r="C14" s="7" t="inlineStr">
        <is>
          <t>—</t>
        </is>
      </c>
      <c r="D14" s="7" t="inlineStr">
        <is>
          <t>第1陣が詰まった箇所を手順・ツール・レクチャーに反映する。</t>
        </is>
      </c>
    </row>
    <row r="15" ht="34" customHeight="1">
      <c r="B15" s="6" t="inlineStr">
        <is>
          <t>3. 第2陣</t>
        </is>
      </c>
      <c r="C15" s="7" t="inlineStr">
        <is>
          <t>7名</t>
        </is>
      </c>
      <c r="D15" s="7" t="inlineStr">
        <is>
          <t>改善版で実施。ここの結果を実証数字として運営に提示する。</t>
        </is>
      </c>
    </row>
    <row r="17">
      <c r="B17" s="3" t="inlineStr">
        <is>
          <t>参加条件（すべて満たす方）</t>
        </is>
      </c>
    </row>
    <row r="18">
      <c r="B18" s="5" t="inlineStr">
        <is>
          <t>#</t>
        </is>
      </c>
      <c r="C18" s="5" t="inlineStr">
        <is>
          <t>条件</t>
        </is>
      </c>
      <c r="D18" s="5" t="inlineStr">
        <is>
          <t>補足</t>
        </is>
      </c>
    </row>
    <row r="19" ht="30" customHeight="1">
      <c r="B19" s="8" t="n">
        <v>1</v>
      </c>
      <c r="C19" s="7" t="inlineStr">
        <is>
          <t>コンテンツ販売での売上が0円の方（ゼロイチ未達）</t>
        </is>
      </c>
      <c r="D19" s="7" t="inlineStr">
        <is>
          <t>「ゼロイチを達成させた」という主張の前提。</t>
        </is>
      </c>
    </row>
    <row r="20" ht="30" customHeight="1">
      <c r="B20" s="8" t="n">
        <v>2</v>
      </c>
      <c r="C20" s="7" t="inlineStr">
        <is>
          <t>noteの新規アカウントを用意できる方（フォロワー0から開始）</t>
        </is>
      </c>
      <c r="D20" s="7" t="inlineStr">
        <is>
          <t>「フォロワー0から売れる」ことの証明に必須。</t>
        </is>
      </c>
    </row>
    <row r="21" ht="30" customHeight="1">
      <c r="B21" s="8" t="n">
        <v>3</v>
      </c>
      <c r="C21" s="7" t="inlineStr">
        <is>
          <t>1日◯分以上の作業時間を確保できる方（1週間）</t>
        </is>
      </c>
      <c r="D21" s="9" t="inlineStr">
        <is>
          <t>※ 数値は本人の検証（段階0）の実測値をもとに確定する。それまで空欄。</t>
        </is>
      </c>
    </row>
    <row r="22" ht="30" customHeight="1">
      <c r="B22" s="10" t="n">
        <v>4</v>
      </c>
      <c r="C22" s="11" t="inlineStr">
        <is>
          <t>Claude Codeのサブスクを契約できる方</t>
        </is>
      </c>
      <c r="D22" s="11" t="inlineStr">
        <is>
          <t>提供ツールがClaude Code前提のため必須。第1陣3名までは1週間の無料体験を提供。</t>
        </is>
      </c>
    </row>
    <row r="23" ht="30" customHeight="1">
      <c r="B23" s="10" t="n">
        <v>5</v>
      </c>
      <c r="C23" s="11" t="inlineStr">
        <is>
          <t>初回レクチャー（Claude Code＋ツールの使い方）に参加できる方</t>
        </is>
      </c>
      <c r="D23" s="11" t="inlineStr">
        <is>
          <t>必須。ここを飛ばすと全員が同じ箇所で詰まるため。</t>
        </is>
      </c>
    </row>
    <row r="24" ht="30" customHeight="1">
      <c r="B24" s="10" t="n">
        <v>6</v>
      </c>
      <c r="C24" s="11" t="inlineStr">
        <is>
          <t>実証ログを提出できる方（1日1回・約30秒／終了時に1回）</t>
        </is>
      </c>
      <c r="D24" s="11" t="inlineStr">
        <is>
          <t>改善材料の収集が本モニターの主目的。負担は最小限に設計。</t>
        </is>
      </c>
    </row>
    <row r="26">
      <c r="B26" s="3" t="inlineStr">
        <is>
          <t>成果・体験談の公開について（募集文に明記）</t>
        </is>
      </c>
    </row>
    <row r="27">
      <c r="B27" s="4" t="inlineStr">
        <is>
          <t>・本モニターで得られた成果・数値・体験談は、講座および運営への報告に使用します。</t>
        </is>
      </c>
    </row>
    <row r="28">
      <c r="B28" s="4" t="inlineStr">
        <is>
          <t>・お申し込みをもって、上記への同意をいただいたものとみなします。</t>
        </is>
      </c>
    </row>
    <row r="29">
      <c r="B29" s="4" t="inlineStr">
        <is>
          <t>・公開名義は「実名／ニックネーム／匿名」から選べます（完了時アンケートで指定）。</t>
        </is>
      </c>
    </row>
    <row r="31">
      <c r="B31" s="3" t="inlineStr">
        <is>
          <t>提供内容</t>
        </is>
      </c>
    </row>
    <row r="32">
      <c r="B32" s="4" t="inlineStr">
        <is>
          <t>・初回レクチャー（Claude Code の導入＋ツールの使い方）※必須参加</t>
        </is>
      </c>
    </row>
    <row r="33">
      <c r="B33" s="4" t="inlineStr">
        <is>
          <t>・手順書、AIツール、テンプレート</t>
        </is>
      </c>
    </row>
    <row r="34">
      <c r="B34" s="4" t="inlineStr">
        <is>
          <t>・期間中の質問対応（詰まった箇所は必ず解消する）</t>
        </is>
      </c>
    </row>
    <row r="35">
      <c r="B35" s="4" t="inlineStr">
        <is>
          <t>・第1陣3名まで：Claude Code 1週間無料体験</t>
        </is>
      </c>
    </row>
    <row r="36">
      <c r="B36" s="12" t="inlineStr">
        <is>
          <t>※ 価格・サポート範囲は本人記入</t>
        </is>
      </c>
    </row>
    <row r="38">
      <c r="B38" s="3" t="inlineStr">
        <is>
          <t>辞退・除外の扱い</t>
        </is>
      </c>
    </row>
    <row r="39">
      <c r="B39" s="4" t="inlineStr">
        <is>
          <t>・3日以上ログの提出および連絡がない場合は、辞退とみなし集計対象から除外します。</t>
        </is>
      </c>
    </row>
    <row r="40">
      <c r="B40" s="4" t="inlineStr">
        <is>
          <t>・除外者は母数から外し、その旨を実証結果に明記します。</t>
        </is>
      </c>
    </row>
    <row r="41">
      <c r="B41" s="4" t="inlineStr">
        <is>
          <t>・売上が発生しなかった場合も、ログは最後まで提出をお願いします（改善材料として最も価値があるため）。</t>
        </is>
      </c>
    </row>
  </sheetData>
  <mergeCells count="21">
    <mergeCell ref="B8:D8"/>
    <mergeCell ref="B17:D17"/>
    <mergeCell ref="B29:D29"/>
    <mergeCell ref="B38:D38"/>
    <mergeCell ref="B34:D34"/>
    <mergeCell ref="B10:D10"/>
    <mergeCell ref="B28:D28"/>
    <mergeCell ref="B40:D40"/>
    <mergeCell ref="B6:D6"/>
    <mergeCell ref="B33:D33"/>
    <mergeCell ref="B5:D5"/>
    <mergeCell ref="B36:D36"/>
    <mergeCell ref="B41:D41"/>
    <mergeCell ref="B32:D32"/>
    <mergeCell ref="B35:D35"/>
    <mergeCell ref="B26:D26"/>
    <mergeCell ref="B7:D7"/>
    <mergeCell ref="B31:D31"/>
    <mergeCell ref="B27:D27"/>
    <mergeCell ref="B39:D39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43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36" customWidth="1" min="3" max="3"/>
    <col width="13" customWidth="1" min="4" max="4"/>
    <col width="48" customWidth="1" min="5" max="5"/>
    <col width="32" customWidth="1" min="6" max="6"/>
  </cols>
  <sheetData>
    <row r="2">
      <c r="B2" s="1" t="inlineStr">
        <is>
          <t>実証ログ 設問設計（Googleフォーム転記用）</t>
        </is>
      </c>
    </row>
    <row r="3">
      <c r="B3" s="2" t="inlineStr">
        <is>
          <t>※ フォームは3つ：A=申込時（1回）／B=日次ログ（毎日・約30秒）／C=完了時（1回）。詳細な設問はすべてCに寄せ、Bは負担を最小化しています。</t>
        </is>
      </c>
    </row>
    <row r="5">
      <c r="B5" s="3" t="inlineStr">
        <is>
          <t>フォームA｜申込時（1回・約2分）</t>
        </is>
      </c>
    </row>
    <row r="6">
      <c r="B6" s="5" t="inlineStr">
        <is>
          <t>#</t>
        </is>
      </c>
      <c r="C6" s="5" t="inlineStr">
        <is>
          <t>設問</t>
        </is>
      </c>
      <c r="D6" s="5" t="inlineStr">
        <is>
          <t>回答形式</t>
        </is>
      </c>
      <c r="E6" s="5" t="inlineStr">
        <is>
          <t>選択肢</t>
        </is>
      </c>
      <c r="F6" s="5" t="inlineStr">
        <is>
          <t>何の証拠になるか</t>
        </is>
      </c>
    </row>
    <row r="7" ht="26" customHeight="1">
      <c r="B7" s="8" t="n">
        <v>1</v>
      </c>
      <c r="C7" s="7" t="inlineStr">
        <is>
          <t>お名前（ニックネーム可）</t>
        </is>
      </c>
      <c r="D7" s="8" t="inlineStr">
        <is>
          <t>記述</t>
        </is>
      </c>
      <c r="E7" s="7" t="inlineStr"/>
      <c r="F7" s="7" t="inlineStr">
        <is>
          <t>識別用</t>
        </is>
      </c>
    </row>
    <row r="8" ht="26" customHeight="1">
      <c r="B8" s="8" t="n">
        <v>2</v>
      </c>
      <c r="C8" s="7" t="inlineStr">
        <is>
          <t>第何陣ですか</t>
        </is>
      </c>
      <c r="D8" s="8" t="inlineStr">
        <is>
          <t>選択</t>
        </is>
      </c>
      <c r="E8" s="7" t="inlineStr">
        <is>
          <t>第1陣 / 第2陣</t>
        </is>
      </c>
      <c r="F8" s="7" t="inlineStr">
        <is>
          <t>陣別集計</t>
        </is>
      </c>
    </row>
    <row r="9" ht="26" customHeight="1">
      <c r="B9" s="8" t="n">
        <v>3</v>
      </c>
      <c r="C9" s="7" t="inlineStr">
        <is>
          <t>開始日</t>
        </is>
      </c>
      <c r="D9" s="8" t="inlineStr">
        <is>
          <t>日付</t>
        </is>
      </c>
      <c r="E9" s="7" t="inlineStr"/>
      <c r="F9" s="7" t="inlineStr">
        <is>
          <t>経過日数の起点</t>
        </is>
      </c>
    </row>
    <row r="10" ht="26" customHeight="1">
      <c r="B10" s="8" t="n">
        <v>4</v>
      </c>
      <c r="C10" s="7" t="inlineStr">
        <is>
          <t>本業の形態</t>
        </is>
      </c>
      <c r="D10" s="8" t="inlineStr">
        <is>
          <t>選択</t>
        </is>
      </c>
      <c r="E10" s="7" t="inlineStr">
        <is>
          <t>フルタイム勤務 / パート・アルバイト / 専業主婦・主夫 / 自営 / 無職・休職中 / その他</t>
        </is>
      </c>
      <c r="F10" s="7" t="inlineStr">
        <is>
          <t>「忙しい人でもできた」の裏付け</t>
        </is>
      </c>
    </row>
    <row r="11" ht="26" customHeight="1">
      <c r="B11" s="8" t="n">
        <v>5</v>
      </c>
      <c r="C11" s="7" t="inlineStr">
        <is>
          <t>1日に確保できる作業時間</t>
        </is>
      </c>
      <c r="D11" s="8" t="inlineStr">
        <is>
          <t>選択</t>
        </is>
      </c>
      <c r="E11" s="7" t="inlineStr">
        <is>
          <t>30分未満 / 30分〜1時間 / 1〜2時間 / 2時間以上</t>
        </is>
      </c>
      <c r="F11" s="7" t="inlineStr">
        <is>
          <t>低負荷であることの前提</t>
        </is>
      </c>
    </row>
    <row r="12" ht="26" customHeight="1">
      <c r="B12" s="8" t="n">
        <v>6</v>
      </c>
      <c r="C12" s="7" t="inlineStr">
        <is>
          <t>文章を書いた経験</t>
        </is>
      </c>
      <c r="D12" s="8" t="inlineStr">
        <is>
          <t>選択</t>
        </is>
      </c>
      <c r="E12" s="7" t="inlineStr">
        <is>
          <t>ほぼない / SNS投稿程度 / ブログ経験あり / 仕事で日常的に書く</t>
        </is>
      </c>
      <c r="F12" s="7" t="inlineStr">
        <is>
          <t>「未経験でもできた」の裏付け</t>
        </is>
      </c>
    </row>
    <row r="13" ht="26" customHeight="1">
      <c r="B13" s="8" t="n">
        <v>7</v>
      </c>
      <c r="C13" s="7" t="inlineStr">
        <is>
          <t>これまでのコンテンツ販売の売上</t>
        </is>
      </c>
      <c r="D13" s="8" t="inlineStr">
        <is>
          <t>選択</t>
        </is>
      </c>
      <c r="E13" s="7" t="inlineStr">
        <is>
          <t>0円 / 1〜9,999円 / 1万円以上</t>
        </is>
      </c>
      <c r="F13" s="7" t="inlineStr">
        <is>
          <t>ゼロイチ未達の確認（参加条件）</t>
        </is>
      </c>
    </row>
    <row r="14" ht="26" customHeight="1">
      <c r="B14" s="8" t="n">
        <v>8</v>
      </c>
      <c r="C14" s="7" t="inlineStr">
        <is>
          <t>開始時のフォロワー数</t>
        </is>
      </c>
      <c r="D14" s="8" t="inlineStr">
        <is>
          <t>数値</t>
        </is>
      </c>
      <c r="E14" s="7" t="inlineStr"/>
      <c r="F14" s="7" t="inlineStr">
        <is>
          <t>0からの達成であることの証明</t>
        </is>
      </c>
    </row>
    <row r="15" ht="26" customHeight="1">
      <c r="B15" s="8" t="n">
        <v>9</v>
      </c>
      <c r="C15" s="7" t="inlineStr">
        <is>
          <t>Claude Code / AIツールの使用経験</t>
        </is>
      </c>
      <c r="D15" s="8" t="inlineStr">
        <is>
          <t>選択</t>
        </is>
      </c>
      <c r="E15" s="7" t="inlineStr">
        <is>
          <t>まったくない / 少し使ったことがある / 日常的に使う</t>
        </is>
      </c>
      <c r="F15" s="7" t="inlineStr">
        <is>
          <t>レクチャー内容の調整・「初心者でもできた」の裏付け</t>
        </is>
      </c>
    </row>
    <row r="16" ht="26" customHeight="1">
      <c r="B16" s="8" t="n">
        <v>10</v>
      </c>
      <c r="C16" s="7" t="inlineStr">
        <is>
          <t>販売する題材（ネタ）はありますか</t>
        </is>
      </c>
      <c r="D16" s="8" t="inlineStr">
        <is>
          <t>選択</t>
        </is>
      </c>
      <c r="E16" s="7" t="inlineStr">
        <is>
          <t>すでに決まっている / 候補はある / まったくない</t>
        </is>
      </c>
      <c r="F16" s="7" t="inlineStr">
        <is>
          <t>題材ゼロでも到達できるかの検証</t>
        </is>
      </c>
    </row>
    <row r="17" ht="26" customHeight="1">
      <c r="B17" s="8" t="n">
        <v>11</v>
      </c>
      <c r="C17" s="7" t="inlineStr">
        <is>
          <t>成果・体験談の公開に同意します</t>
        </is>
      </c>
      <c r="D17" s="8" t="inlineStr">
        <is>
          <t>チェック</t>
        </is>
      </c>
      <c r="E17" s="7" t="inlineStr">
        <is>
          <t>同意する（必須）</t>
        </is>
      </c>
      <c r="F17" s="7" t="inlineStr">
        <is>
          <t>申込＝同意として記録に残す</t>
        </is>
      </c>
    </row>
    <row r="19">
      <c r="B19" s="3" t="inlineStr">
        <is>
          <t>フォームB｜日次ログ（毎日・約30秒）★4問のみ</t>
        </is>
      </c>
    </row>
    <row r="20">
      <c r="B20" s="5" t="inlineStr">
        <is>
          <t>#</t>
        </is>
      </c>
      <c r="C20" s="5" t="inlineStr">
        <is>
          <t>設問</t>
        </is>
      </c>
      <c r="D20" s="5" t="inlineStr">
        <is>
          <t>回答形式</t>
        </is>
      </c>
      <c r="E20" s="5" t="inlineStr">
        <is>
          <t>選択肢</t>
        </is>
      </c>
      <c r="F20" s="5" t="inlineStr">
        <is>
          <t>何の証拠になるか</t>
        </is>
      </c>
    </row>
    <row r="21" ht="26" customHeight="1">
      <c r="B21" s="8" t="n">
        <v>1</v>
      </c>
      <c r="C21" s="7" t="inlineStr">
        <is>
          <t>お名前（ニックネーム可）</t>
        </is>
      </c>
      <c r="D21" s="8" t="inlineStr">
        <is>
          <t>選択</t>
        </is>
      </c>
      <c r="E21" s="7" t="inlineStr">
        <is>
          <t>（登録者から選択）</t>
        </is>
      </c>
      <c r="F21" s="7" t="inlineStr">
        <is>
          <t>個人の紐付け</t>
        </is>
      </c>
    </row>
    <row r="22" ht="26" customHeight="1">
      <c r="B22" s="8" t="n">
        <v>2</v>
      </c>
      <c r="C22" s="7" t="inlineStr">
        <is>
          <t>何日目ですか</t>
        </is>
      </c>
      <c r="D22" s="8" t="inlineStr">
        <is>
          <t>選択</t>
        </is>
      </c>
      <c r="E22" s="7" t="inlineStr">
        <is>
          <t>1 / 2 / 3 / 4 / 5 / 6 / 7 / 8日目以降</t>
        </is>
      </c>
      <c r="F22" s="7" t="inlineStr">
        <is>
          <t>経過日数</t>
        </is>
      </c>
    </row>
    <row r="23" ht="26" customHeight="1">
      <c r="B23" s="8" t="n">
        <v>3</v>
      </c>
      <c r="C23" s="7" t="inlineStr">
        <is>
          <t>今日の作業時間</t>
        </is>
      </c>
      <c r="D23" s="8" t="inlineStr">
        <is>
          <t>選択</t>
        </is>
      </c>
      <c r="E23" s="7" t="inlineStr">
        <is>
          <t>0分（作業なし） / 30分未満 / 30分〜1時間 / 1〜2時間 / 2時間以上</t>
        </is>
      </c>
      <c r="F23" s="7" t="inlineStr">
        <is>
          <t>総作業時間の集計元</t>
        </is>
      </c>
    </row>
    <row r="24" ht="26" customHeight="1">
      <c r="B24" s="8" t="n">
        <v>4</v>
      </c>
      <c r="C24" s="7" t="inlineStr">
        <is>
          <t>今日つまずいたことがあれば（任意・一言でOK）</t>
        </is>
      </c>
      <c r="D24" s="8" t="inlineStr">
        <is>
          <t>記述（任意）</t>
        </is>
      </c>
      <c r="E24" s="7" t="inlineStr"/>
      <c r="F24" s="7" t="inlineStr">
        <is>
          <t>★ 改善の最重要データ。ここだけは鮮度が命なので日次で取る</t>
        </is>
      </c>
    </row>
    <row r="25" ht="26" customHeight="1">
      <c r="B25" s="8" t="n">
        <v>5</v>
      </c>
      <c r="C25" s="7" t="inlineStr">
        <is>
          <t>売上は発生しましたか</t>
        </is>
      </c>
      <c r="D25" s="8" t="inlineStr">
        <is>
          <t>選択</t>
        </is>
      </c>
      <c r="E25" s="7" t="inlineStr">
        <is>
          <t>まだ / 発生した</t>
        </is>
      </c>
      <c r="F25" s="7" t="inlineStr">
        <is>
          <t>ゼロイチ達成の判定</t>
        </is>
      </c>
    </row>
    <row r="27">
      <c r="B27" s="3" t="inlineStr">
        <is>
          <t>フォームC｜完了時（1回・約5分）※詳細はすべてここ</t>
        </is>
      </c>
    </row>
    <row r="28">
      <c r="B28" s="5" t="inlineStr">
        <is>
          <t>#</t>
        </is>
      </c>
      <c r="C28" s="5" t="inlineStr">
        <is>
          <t>設問</t>
        </is>
      </c>
      <c r="D28" s="5" t="inlineStr">
        <is>
          <t>回答形式</t>
        </is>
      </c>
      <c r="E28" s="5" t="inlineStr">
        <is>
          <t>選択肢</t>
        </is>
      </c>
      <c r="F28" s="5" t="inlineStr">
        <is>
          <t>何の証拠になるか</t>
        </is>
      </c>
    </row>
    <row r="29" ht="26" customHeight="1">
      <c r="B29" s="8" t="n">
        <v>1</v>
      </c>
      <c r="C29" s="7" t="inlineStr">
        <is>
          <t>お名前（ニックネーム可）</t>
        </is>
      </c>
      <c r="D29" s="8" t="inlineStr">
        <is>
          <t>記述</t>
        </is>
      </c>
      <c r="E29" s="7" t="inlineStr"/>
      <c r="F29" s="7" t="inlineStr">
        <is>
          <t>識別用</t>
        </is>
      </c>
    </row>
    <row r="30" ht="26" customHeight="1">
      <c r="B30" s="8" t="n">
        <v>2</v>
      </c>
      <c r="C30" s="7" t="inlineStr">
        <is>
          <t>ゼロイチを達成しましたか</t>
        </is>
      </c>
      <c r="D30" s="8" t="inlineStr">
        <is>
          <t>選択</t>
        </is>
      </c>
      <c r="E30" s="7" t="inlineStr">
        <is>
          <t>達成した / 達成できなかった</t>
        </is>
      </c>
      <c r="F30" s="7" t="inlineStr">
        <is>
          <t>達成率の集計元</t>
        </is>
      </c>
    </row>
    <row r="31" ht="26" customHeight="1">
      <c r="B31" s="8" t="n">
        <v>3</v>
      </c>
      <c r="C31" s="7" t="inlineStr">
        <is>
          <t>初売上までの日数</t>
        </is>
      </c>
      <c r="D31" s="8" t="inlineStr">
        <is>
          <t>数値</t>
        </is>
      </c>
      <c r="E31" s="7" t="inlineStr"/>
      <c r="F31" s="7" t="inlineStr">
        <is>
          <t>「◯日で達成」の根拠</t>
        </is>
      </c>
    </row>
    <row r="32" ht="26" customHeight="1">
      <c r="B32" s="8" t="n">
        <v>4</v>
      </c>
      <c r="C32" s="7" t="inlineStr">
        <is>
          <t>初売上までの総作業時間（時間）</t>
        </is>
      </c>
      <c r="D32" s="8" t="inlineStr">
        <is>
          <t>数値</t>
        </is>
      </c>
      <c r="E32" s="7" t="inlineStr"/>
      <c r="F32" s="7" t="inlineStr">
        <is>
          <t>★ 差別化の中核。日次ログと突き合わせて検証</t>
        </is>
      </c>
    </row>
    <row r="33" ht="26" customHeight="1">
      <c r="B33" s="8" t="n">
        <v>5</v>
      </c>
      <c r="C33" s="7" t="inlineStr">
        <is>
          <t>売上金額 / 購入者数</t>
        </is>
      </c>
      <c r="D33" s="8" t="inlineStr">
        <is>
          <t>記述</t>
        </is>
      </c>
      <c r="E33" s="7" t="inlineStr"/>
      <c r="F33" s="7" t="inlineStr">
        <is>
          <t>達成内容</t>
        </is>
      </c>
    </row>
    <row r="34" ht="26" customHeight="1">
      <c r="B34" s="8" t="n">
        <v>6</v>
      </c>
      <c r="C34" s="7" t="inlineStr">
        <is>
          <t>AIで生成した文章の割合（全体を通して）</t>
        </is>
      </c>
      <c r="D34" s="8" t="inlineStr">
        <is>
          <t>選択</t>
        </is>
      </c>
      <c r="E34" s="7" t="inlineStr">
        <is>
          <t>ほぼ全部（90%以上） / 大半（70%程度） / 半分くらい / 一部（30%程度） / ほぼ使わなかった</t>
        </is>
      </c>
      <c r="F34" s="7" t="inlineStr">
        <is>
          <t>「書けない人でもできる」の裏付け</t>
        </is>
      </c>
    </row>
    <row r="35" ht="26" customHeight="1">
      <c r="B35" s="8" t="n">
        <v>7</v>
      </c>
      <c r="C35" s="7" t="inlineStr">
        <is>
          <t>AIの文章に手直しは必要でしたか</t>
        </is>
      </c>
      <c r="D35" s="8" t="inlineStr">
        <is>
          <t>選択</t>
        </is>
      </c>
      <c r="E35" s="7" t="inlineStr">
        <is>
          <t>ほぼそのまま使えた / 少し直した / 半分くらい直した / 大幅に直した / 使えず自分で書き直した</t>
        </is>
      </c>
      <c r="F35" s="7" t="inlineStr">
        <is>
          <t>★ ツールの完成度。改善対象の特定</t>
        </is>
      </c>
    </row>
    <row r="36" ht="26" customHeight="1">
      <c r="B36" s="8" t="n">
        <v>8</v>
      </c>
      <c r="C36" s="7" t="inlineStr">
        <is>
          <t>手直しした理由（複数選択可）</t>
        </is>
      </c>
      <c r="D36" s="8" t="inlineStr">
        <is>
          <t>選択(複数)</t>
        </is>
      </c>
      <c r="E36" s="7" t="inlineStr">
        <is>
          <t>自分の言葉になっていない / 内容が薄い / 事実と違う / 長すぎる・短すぎる / 構成が合わない / 手直しは不要だった</t>
        </is>
      </c>
      <c r="F36" s="7" t="inlineStr">
        <is>
          <t>プロンプト改善の直接材料</t>
        </is>
      </c>
    </row>
    <row r="37" ht="26" customHeight="1">
      <c r="B37" s="8" t="n">
        <v>9</v>
      </c>
      <c r="C37" s="7" t="inlineStr">
        <is>
          <t>全体を通しての負荷感</t>
        </is>
      </c>
      <c r="D37" s="8" t="inlineStr">
        <is>
          <t>選択</t>
        </is>
      </c>
      <c r="E37" s="7" t="inlineStr">
        <is>
          <t>余裕があった / ちょうどよかった / ややきつかった / かなりきつかった</t>
        </is>
      </c>
      <c r="F37" s="7" t="inlineStr">
        <is>
          <t>「労力が少ない」の主観的裏付け</t>
        </is>
      </c>
    </row>
    <row r="38" ht="26" customHeight="1">
      <c r="B38" s="8" t="n">
        <v>10</v>
      </c>
      <c r="C38" s="7" t="inlineStr">
        <is>
          <t>最もつまずいた工程</t>
        </is>
      </c>
      <c r="D38" s="8" t="inlineStr">
        <is>
          <t>選択</t>
        </is>
      </c>
      <c r="E38" s="7" t="inlineStr">
        <is>
          <t>題材決め / 構成作成 / 本文作成 / 価格設定 / 記事公開 / 告知・集客 / Claude Codeの操作</t>
        </is>
      </c>
      <c r="F38" s="7" t="inlineStr">
        <is>
          <t>★ 教材・レクチャーの弱点特定</t>
        </is>
      </c>
    </row>
    <row r="39" ht="26" customHeight="1">
      <c r="B39" s="8" t="n">
        <v>11</v>
      </c>
      <c r="C39" s="7" t="inlineStr">
        <is>
          <t>レクチャー・手順書で分かりにくかった点</t>
        </is>
      </c>
      <c r="D39" s="8" t="inlineStr">
        <is>
          <t>記述</t>
        </is>
      </c>
      <c r="E39" s="7" t="inlineStr"/>
      <c r="F39" s="7" t="inlineStr">
        <is>
          <t>改善材料</t>
        </is>
      </c>
    </row>
    <row r="40" ht="26" customHeight="1">
      <c r="B40" s="8" t="n">
        <v>12</v>
      </c>
      <c r="C40" s="7" t="inlineStr">
        <is>
          <t>一番役に立った点</t>
        </is>
      </c>
      <c r="D40" s="8" t="inlineStr">
        <is>
          <t>記述</t>
        </is>
      </c>
      <c r="E40" s="7" t="inlineStr"/>
      <c r="F40" s="7" t="inlineStr">
        <is>
          <t>セールス材料</t>
        </is>
      </c>
    </row>
    <row r="41" ht="26" customHeight="1">
      <c r="B41" s="8" t="n">
        <v>13</v>
      </c>
      <c r="C41" s="7" t="inlineStr">
        <is>
          <t>この講座を同じ状況の人に勧めますか（0〜10）</t>
        </is>
      </c>
      <c r="D41" s="8" t="inlineStr">
        <is>
          <t>数値</t>
        </is>
      </c>
      <c r="E41" s="7" t="inlineStr">
        <is>
          <t>0〜10</t>
        </is>
      </c>
      <c r="F41" s="7" t="inlineStr">
        <is>
          <t>推奨度</t>
        </is>
      </c>
    </row>
    <row r="42" ht="26" customHeight="1">
      <c r="B42" s="8" t="n">
        <v>14</v>
      </c>
      <c r="C42" s="7" t="inlineStr">
        <is>
          <t>公開時の名義</t>
        </is>
      </c>
      <c r="D42" s="8" t="inlineStr">
        <is>
          <t>選択</t>
        </is>
      </c>
      <c r="E42" s="7" t="inlineStr">
        <is>
          <t>実名 / ニックネーム / 匿名</t>
        </is>
      </c>
      <c r="F42" s="7" t="inlineStr">
        <is>
          <t>公開同意は申込時に取得済み。名義のみ確認</t>
        </is>
      </c>
    </row>
    <row r="43" ht="26" customHeight="1">
      <c r="B43" s="8" t="n">
        <v>15</v>
      </c>
      <c r="C43" s="7" t="inlineStr">
        <is>
          <t>体験談（自由記述）</t>
        </is>
      </c>
      <c r="D43" s="8" t="inlineStr">
        <is>
          <t>記述</t>
        </is>
      </c>
      <c r="E43" s="7" t="inlineStr"/>
      <c r="F43" s="7" t="inlineStr">
        <is>
          <t>お客様の声</t>
        </is>
      </c>
    </row>
  </sheetData>
  <mergeCells count="4">
    <mergeCell ref="B2:F2"/>
    <mergeCell ref="B19:F19"/>
    <mergeCell ref="B27:F27"/>
    <mergeCell ref="B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05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7" customWidth="1" min="4" max="4"/>
    <col width="16" customWidth="1" min="5" max="5"/>
    <col width="52" customWidth="1" min="6" max="6"/>
    <col width="11" customWidth="1" min="7" max="7"/>
  </cols>
  <sheetData>
    <row r="2">
      <c r="B2" s="1" t="inlineStr">
        <is>
          <t>日次ログ 記録表</t>
        </is>
      </c>
    </row>
    <row r="3">
      <c r="B3" s="2" t="inlineStr">
        <is>
          <t>※ Googleフォーム（B）の回答をここに貼り付けて蓄積します。E列のつまずきが改善の一次材料です。</t>
        </is>
      </c>
    </row>
    <row r="5">
      <c r="B5" s="5" t="inlineStr">
        <is>
          <t>参加者</t>
        </is>
      </c>
      <c r="C5" s="5" t="inlineStr">
        <is>
          <t>日付</t>
        </is>
      </c>
      <c r="D5" s="5" t="inlineStr">
        <is>
          <t>日目</t>
        </is>
      </c>
      <c r="E5" s="5" t="inlineStr">
        <is>
          <t>作業時間</t>
        </is>
      </c>
      <c r="F5" s="5" t="inlineStr">
        <is>
          <t>つまずいたこと</t>
        </is>
      </c>
      <c r="G5" s="5" t="inlineStr">
        <is>
          <t>売上発生</t>
        </is>
      </c>
    </row>
    <row r="6">
      <c r="B6" s="13" t="n"/>
      <c r="C6" s="13" t="n"/>
      <c r="D6" s="13" t="n"/>
      <c r="E6" s="13" t="n"/>
      <c r="F6" s="13" t="n"/>
      <c r="G6" s="13" t="n"/>
    </row>
    <row r="7">
      <c r="B7" s="13" t="n"/>
      <c r="C7" s="13" t="n"/>
      <c r="D7" s="13" t="n"/>
      <c r="E7" s="13" t="n"/>
      <c r="F7" s="13" t="n"/>
      <c r="G7" s="13" t="n"/>
    </row>
    <row r="8">
      <c r="B8" s="13" t="n"/>
      <c r="C8" s="13" t="n"/>
      <c r="D8" s="13" t="n"/>
      <c r="E8" s="13" t="n"/>
      <c r="F8" s="13" t="n"/>
      <c r="G8" s="13" t="n"/>
    </row>
    <row r="9">
      <c r="B9" s="13" t="n"/>
      <c r="C9" s="13" t="n"/>
      <c r="D9" s="13" t="n"/>
      <c r="E9" s="13" t="n"/>
      <c r="F9" s="13" t="n"/>
      <c r="G9" s="13" t="n"/>
    </row>
    <row r="10">
      <c r="B10" s="13" t="n"/>
      <c r="C10" s="13" t="n"/>
      <c r="D10" s="13" t="n"/>
      <c r="E10" s="13" t="n"/>
      <c r="F10" s="13" t="n"/>
      <c r="G10" s="13" t="n"/>
    </row>
    <row r="11">
      <c r="B11" s="13" t="n"/>
      <c r="C11" s="13" t="n"/>
      <c r="D11" s="13" t="n"/>
      <c r="E11" s="13" t="n"/>
      <c r="F11" s="13" t="n"/>
      <c r="G11" s="13" t="n"/>
    </row>
    <row r="12">
      <c r="B12" s="13" t="n"/>
      <c r="C12" s="13" t="n"/>
      <c r="D12" s="13" t="n"/>
      <c r="E12" s="13" t="n"/>
      <c r="F12" s="13" t="n"/>
      <c r="G12" s="13" t="n"/>
    </row>
    <row r="13">
      <c r="B13" s="13" t="n"/>
      <c r="C13" s="13" t="n"/>
      <c r="D13" s="13" t="n"/>
      <c r="E13" s="13" t="n"/>
      <c r="F13" s="13" t="n"/>
      <c r="G13" s="13" t="n"/>
    </row>
    <row r="14">
      <c r="B14" s="13" t="n"/>
      <c r="C14" s="13" t="n"/>
      <c r="D14" s="13" t="n"/>
      <c r="E14" s="13" t="n"/>
      <c r="F14" s="13" t="n"/>
      <c r="G14" s="13" t="n"/>
    </row>
    <row r="15">
      <c r="B15" s="13" t="n"/>
      <c r="C15" s="13" t="n"/>
      <c r="D15" s="13" t="n"/>
      <c r="E15" s="13" t="n"/>
      <c r="F15" s="13" t="n"/>
      <c r="G15" s="13" t="n"/>
    </row>
    <row r="16">
      <c r="B16" s="13" t="n"/>
      <c r="C16" s="13" t="n"/>
      <c r="D16" s="13" t="n"/>
      <c r="E16" s="13" t="n"/>
      <c r="F16" s="13" t="n"/>
      <c r="G16" s="13" t="n"/>
    </row>
    <row r="17">
      <c r="B17" s="13" t="n"/>
      <c r="C17" s="13" t="n"/>
      <c r="D17" s="13" t="n"/>
      <c r="E17" s="13" t="n"/>
      <c r="F17" s="13" t="n"/>
      <c r="G17" s="13" t="n"/>
    </row>
    <row r="18">
      <c r="B18" s="13" t="n"/>
      <c r="C18" s="13" t="n"/>
      <c r="D18" s="13" t="n"/>
      <c r="E18" s="13" t="n"/>
      <c r="F18" s="13" t="n"/>
      <c r="G18" s="13" t="n"/>
    </row>
    <row r="19">
      <c r="B19" s="13" t="n"/>
      <c r="C19" s="13" t="n"/>
      <c r="D19" s="13" t="n"/>
      <c r="E19" s="13" t="n"/>
      <c r="F19" s="13" t="n"/>
      <c r="G19" s="13" t="n"/>
    </row>
    <row r="20">
      <c r="B20" s="13" t="n"/>
      <c r="C20" s="13" t="n"/>
      <c r="D20" s="13" t="n"/>
      <c r="E20" s="13" t="n"/>
      <c r="F20" s="13" t="n"/>
      <c r="G20" s="13" t="n"/>
    </row>
    <row r="21">
      <c r="B21" s="13" t="n"/>
      <c r="C21" s="13" t="n"/>
      <c r="D21" s="13" t="n"/>
      <c r="E21" s="13" t="n"/>
      <c r="F21" s="13" t="n"/>
      <c r="G21" s="13" t="n"/>
    </row>
    <row r="22">
      <c r="B22" s="13" t="n"/>
      <c r="C22" s="13" t="n"/>
      <c r="D22" s="13" t="n"/>
      <c r="E22" s="13" t="n"/>
      <c r="F22" s="13" t="n"/>
      <c r="G22" s="13" t="n"/>
    </row>
    <row r="23">
      <c r="B23" s="13" t="n"/>
      <c r="C23" s="13" t="n"/>
      <c r="D23" s="13" t="n"/>
      <c r="E23" s="13" t="n"/>
      <c r="F23" s="13" t="n"/>
      <c r="G23" s="13" t="n"/>
    </row>
    <row r="24">
      <c r="B24" s="13" t="n"/>
      <c r="C24" s="13" t="n"/>
      <c r="D24" s="13" t="n"/>
      <c r="E24" s="13" t="n"/>
      <c r="F24" s="13" t="n"/>
      <c r="G24" s="13" t="n"/>
    </row>
    <row r="25">
      <c r="B25" s="13" t="n"/>
      <c r="C25" s="13" t="n"/>
      <c r="D25" s="13" t="n"/>
      <c r="E25" s="13" t="n"/>
      <c r="F25" s="13" t="n"/>
      <c r="G25" s="13" t="n"/>
    </row>
    <row r="26">
      <c r="B26" s="13" t="n"/>
      <c r="C26" s="13" t="n"/>
      <c r="D26" s="13" t="n"/>
      <c r="E26" s="13" t="n"/>
      <c r="F26" s="13" t="n"/>
      <c r="G26" s="13" t="n"/>
    </row>
    <row r="27">
      <c r="B27" s="13" t="n"/>
      <c r="C27" s="13" t="n"/>
      <c r="D27" s="13" t="n"/>
      <c r="E27" s="13" t="n"/>
      <c r="F27" s="13" t="n"/>
      <c r="G27" s="13" t="n"/>
    </row>
    <row r="28">
      <c r="B28" s="13" t="n"/>
      <c r="C28" s="13" t="n"/>
      <c r="D28" s="13" t="n"/>
      <c r="E28" s="13" t="n"/>
      <c r="F28" s="13" t="n"/>
      <c r="G28" s="13" t="n"/>
    </row>
    <row r="29">
      <c r="B29" s="13" t="n"/>
      <c r="C29" s="13" t="n"/>
      <c r="D29" s="13" t="n"/>
      <c r="E29" s="13" t="n"/>
      <c r="F29" s="13" t="n"/>
      <c r="G29" s="13" t="n"/>
    </row>
    <row r="30">
      <c r="B30" s="13" t="n"/>
      <c r="C30" s="13" t="n"/>
      <c r="D30" s="13" t="n"/>
      <c r="E30" s="13" t="n"/>
      <c r="F30" s="13" t="n"/>
      <c r="G30" s="13" t="n"/>
    </row>
    <row r="31">
      <c r="B31" s="13" t="n"/>
      <c r="C31" s="13" t="n"/>
      <c r="D31" s="13" t="n"/>
      <c r="E31" s="13" t="n"/>
      <c r="F31" s="13" t="n"/>
      <c r="G31" s="13" t="n"/>
    </row>
    <row r="32">
      <c r="B32" s="13" t="n"/>
      <c r="C32" s="13" t="n"/>
      <c r="D32" s="13" t="n"/>
      <c r="E32" s="13" t="n"/>
      <c r="F32" s="13" t="n"/>
      <c r="G32" s="13" t="n"/>
    </row>
    <row r="33">
      <c r="B33" s="13" t="n"/>
      <c r="C33" s="13" t="n"/>
      <c r="D33" s="13" t="n"/>
      <c r="E33" s="13" t="n"/>
      <c r="F33" s="13" t="n"/>
      <c r="G33" s="13" t="n"/>
    </row>
    <row r="34">
      <c r="B34" s="13" t="n"/>
      <c r="C34" s="13" t="n"/>
      <c r="D34" s="13" t="n"/>
      <c r="E34" s="13" t="n"/>
      <c r="F34" s="13" t="n"/>
      <c r="G34" s="13" t="n"/>
    </row>
    <row r="35">
      <c r="B35" s="13" t="n"/>
      <c r="C35" s="13" t="n"/>
      <c r="D35" s="13" t="n"/>
      <c r="E35" s="13" t="n"/>
      <c r="F35" s="13" t="n"/>
      <c r="G35" s="13" t="n"/>
    </row>
    <row r="36">
      <c r="B36" s="13" t="n"/>
      <c r="C36" s="13" t="n"/>
      <c r="D36" s="13" t="n"/>
      <c r="E36" s="13" t="n"/>
      <c r="F36" s="13" t="n"/>
      <c r="G36" s="13" t="n"/>
    </row>
    <row r="37">
      <c r="B37" s="13" t="n"/>
      <c r="C37" s="13" t="n"/>
      <c r="D37" s="13" t="n"/>
      <c r="E37" s="13" t="n"/>
      <c r="F37" s="13" t="n"/>
      <c r="G37" s="13" t="n"/>
    </row>
    <row r="38">
      <c r="B38" s="13" t="n"/>
      <c r="C38" s="13" t="n"/>
      <c r="D38" s="13" t="n"/>
      <c r="E38" s="13" t="n"/>
      <c r="F38" s="13" t="n"/>
      <c r="G38" s="13" t="n"/>
    </row>
    <row r="39">
      <c r="B39" s="13" t="n"/>
      <c r="C39" s="13" t="n"/>
      <c r="D39" s="13" t="n"/>
      <c r="E39" s="13" t="n"/>
      <c r="F39" s="13" t="n"/>
      <c r="G39" s="13" t="n"/>
    </row>
    <row r="40">
      <c r="B40" s="13" t="n"/>
      <c r="C40" s="13" t="n"/>
      <c r="D40" s="13" t="n"/>
      <c r="E40" s="13" t="n"/>
      <c r="F40" s="13" t="n"/>
      <c r="G40" s="13" t="n"/>
    </row>
    <row r="41">
      <c r="B41" s="13" t="n"/>
      <c r="C41" s="13" t="n"/>
      <c r="D41" s="13" t="n"/>
      <c r="E41" s="13" t="n"/>
      <c r="F41" s="13" t="n"/>
      <c r="G41" s="13" t="n"/>
    </row>
    <row r="42">
      <c r="B42" s="13" t="n"/>
      <c r="C42" s="13" t="n"/>
      <c r="D42" s="13" t="n"/>
      <c r="E42" s="13" t="n"/>
      <c r="F42" s="13" t="n"/>
      <c r="G42" s="13" t="n"/>
    </row>
    <row r="43">
      <c r="B43" s="13" t="n"/>
      <c r="C43" s="13" t="n"/>
      <c r="D43" s="13" t="n"/>
      <c r="E43" s="13" t="n"/>
      <c r="F43" s="13" t="n"/>
      <c r="G43" s="13" t="n"/>
    </row>
    <row r="44">
      <c r="B44" s="13" t="n"/>
      <c r="C44" s="13" t="n"/>
      <c r="D44" s="13" t="n"/>
      <c r="E44" s="13" t="n"/>
      <c r="F44" s="13" t="n"/>
      <c r="G44" s="13" t="n"/>
    </row>
    <row r="45">
      <c r="B45" s="13" t="n"/>
      <c r="C45" s="13" t="n"/>
      <c r="D45" s="13" t="n"/>
      <c r="E45" s="13" t="n"/>
      <c r="F45" s="13" t="n"/>
      <c r="G45" s="13" t="n"/>
    </row>
    <row r="46">
      <c r="B46" s="13" t="n"/>
      <c r="C46" s="13" t="n"/>
      <c r="D46" s="13" t="n"/>
      <c r="E46" s="13" t="n"/>
      <c r="F46" s="13" t="n"/>
      <c r="G46" s="13" t="n"/>
    </row>
    <row r="47">
      <c r="B47" s="13" t="n"/>
      <c r="C47" s="13" t="n"/>
      <c r="D47" s="13" t="n"/>
      <c r="E47" s="13" t="n"/>
      <c r="F47" s="13" t="n"/>
      <c r="G47" s="13" t="n"/>
    </row>
    <row r="48">
      <c r="B48" s="13" t="n"/>
      <c r="C48" s="13" t="n"/>
      <c r="D48" s="13" t="n"/>
      <c r="E48" s="13" t="n"/>
      <c r="F48" s="13" t="n"/>
      <c r="G48" s="13" t="n"/>
    </row>
    <row r="49">
      <c r="B49" s="13" t="n"/>
      <c r="C49" s="13" t="n"/>
      <c r="D49" s="13" t="n"/>
      <c r="E49" s="13" t="n"/>
      <c r="F49" s="13" t="n"/>
      <c r="G49" s="13" t="n"/>
    </row>
    <row r="50">
      <c r="B50" s="13" t="n"/>
      <c r="C50" s="13" t="n"/>
      <c r="D50" s="13" t="n"/>
      <c r="E50" s="13" t="n"/>
      <c r="F50" s="13" t="n"/>
      <c r="G50" s="13" t="n"/>
    </row>
    <row r="51">
      <c r="B51" s="13" t="n"/>
      <c r="C51" s="13" t="n"/>
      <c r="D51" s="13" t="n"/>
      <c r="E51" s="13" t="n"/>
      <c r="F51" s="13" t="n"/>
      <c r="G51" s="13" t="n"/>
    </row>
    <row r="52">
      <c r="B52" s="13" t="n"/>
      <c r="C52" s="13" t="n"/>
      <c r="D52" s="13" t="n"/>
      <c r="E52" s="13" t="n"/>
      <c r="F52" s="13" t="n"/>
      <c r="G52" s="13" t="n"/>
    </row>
    <row r="53">
      <c r="B53" s="13" t="n"/>
      <c r="C53" s="13" t="n"/>
      <c r="D53" s="13" t="n"/>
      <c r="E53" s="13" t="n"/>
      <c r="F53" s="13" t="n"/>
      <c r="G53" s="13" t="n"/>
    </row>
    <row r="54">
      <c r="B54" s="13" t="n"/>
      <c r="C54" s="13" t="n"/>
      <c r="D54" s="13" t="n"/>
      <c r="E54" s="13" t="n"/>
      <c r="F54" s="13" t="n"/>
      <c r="G54" s="13" t="n"/>
    </row>
    <row r="55">
      <c r="B55" s="13" t="n"/>
      <c r="C55" s="13" t="n"/>
      <c r="D55" s="13" t="n"/>
      <c r="E55" s="13" t="n"/>
      <c r="F55" s="13" t="n"/>
      <c r="G55" s="13" t="n"/>
    </row>
    <row r="56">
      <c r="B56" s="13" t="n"/>
      <c r="C56" s="13" t="n"/>
      <c r="D56" s="13" t="n"/>
      <c r="E56" s="13" t="n"/>
      <c r="F56" s="13" t="n"/>
      <c r="G56" s="13" t="n"/>
    </row>
    <row r="57">
      <c r="B57" s="13" t="n"/>
      <c r="C57" s="13" t="n"/>
      <c r="D57" s="13" t="n"/>
      <c r="E57" s="13" t="n"/>
      <c r="F57" s="13" t="n"/>
      <c r="G57" s="13" t="n"/>
    </row>
    <row r="58">
      <c r="B58" s="13" t="n"/>
      <c r="C58" s="13" t="n"/>
      <c r="D58" s="13" t="n"/>
      <c r="E58" s="13" t="n"/>
      <c r="F58" s="13" t="n"/>
      <c r="G58" s="13" t="n"/>
    </row>
    <row r="59">
      <c r="B59" s="13" t="n"/>
      <c r="C59" s="13" t="n"/>
      <c r="D59" s="13" t="n"/>
      <c r="E59" s="13" t="n"/>
      <c r="F59" s="13" t="n"/>
      <c r="G59" s="13" t="n"/>
    </row>
    <row r="60">
      <c r="B60" s="13" t="n"/>
      <c r="C60" s="13" t="n"/>
      <c r="D60" s="13" t="n"/>
      <c r="E60" s="13" t="n"/>
      <c r="F60" s="13" t="n"/>
      <c r="G60" s="13" t="n"/>
    </row>
    <row r="61">
      <c r="B61" s="13" t="n"/>
      <c r="C61" s="13" t="n"/>
      <c r="D61" s="13" t="n"/>
      <c r="E61" s="13" t="n"/>
      <c r="F61" s="13" t="n"/>
      <c r="G61" s="13" t="n"/>
    </row>
    <row r="62">
      <c r="B62" s="13" t="n"/>
      <c r="C62" s="13" t="n"/>
      <c r="D62" s="13" t="n"/>
      <c r="E62" s="13" t="n"/>
      <c r="F62" s="13" t="n"/>
      <c r="G62" s="13" t="n"/>
    </row>
    <row r="63">
      <c r="B63" s="13" t="n"/>
      <c r="C63" s="13" t="n"/>
      <c r="D63" s="13" t="n"/>
      <c r="E63" s="13" t="n"/>
      <c r="F63" s="13" t="n"/>
      <c r="G63" s="13" t="n"/>
    </row>
    <row r="64">
      <c r="B64" s="13" t="n"/>
      <c r="C64" s="13" t="n"/>
      <c r="D64" s="13" t="n"/>
      <c r="E64" s="13" t="n"/>
      <c r="F64" s="13" t="n"/>
      <c r="G64" s="13" t="n"/>
    </row>
    <row r="65">
      <c r="B65" s="13" t="n"/>
      <c r="C65" s="13" t="n"/>
      <c r="D65" s="13" t="n"/>
      <c r="E65" s="13" t="n"/>
      <c r="F65" s="13" t="n"/>
      <c r="G65" s="13" t="n"/>
    </row>
    <row r="66">
      <c r="B66" s="13" t="n"/>
      <c r="C66" s="13" t="n"/>
      <c r="D66" s="13" t="n"/>
      <c r="E66" s="13" t="n"/>
      <c r="F66" s="13" t="n"/>
      <c r="G66" s="13" t="n"/>
    </row>
    <row r="67">
      <c r="B67" s="13" t="n"/>
      <c r="C67" s="13" t="n"/>
      <c r="D67" s="13" t="n"/>
      <c r="E67" s="13" t="n"/>
      <c r="F67" s="13" t="n"/>
      <c r="G67" s="13" t="n"/>
    </row>
    <row r="68">
      <c r="B68" s="13" t="n"/>
      <c r="C68" s="13" t="n"/>
      <c r="D68" s="13" t="n"/>
      <c r="E68" s="13" t="n"/>
      <c r="F68" s="13" t="n"/>
      <c r="G68" s="13" t="n"/>
    </row>
    <row r="69">
      <c r="B69" s="13" t="n"/>
      <c r="C69" s="13" t="n"/>
      <c r="D69" s="13" t="n"/>
      <c r="E69" s="13" t="n"/>
      <c r="F69" s="13" t="n"/>
      <c r="G69" s="13" t="n"/>
    </row>
    <row r="70">
      <c r="B70" s="13" t="n"/>
      <c r="C70" s="13" t="n"/>
      <c r="D70" s="13" t="n"/>
      <c r="E70" s="13" t="n"/>
      <c r="F70" s="13" t="n"/>
      <c r="G70" s="13" t="n"/>
    </row>
    <row r="71">
      <c r="B71" s="13" t="n"/>
      <c r="C71" s="13" t="n"/>
      <c r="D71" s="13" t="n"/>
      <c r="E71" s="13" t="n"/>
      <c r="F71" s="13" t="n"/>
      <c r="G71" s="13" t="n"/>
    </row>
    <row r="72">
      <c r="B72" s="13" t="n"/>
      <c r="C72" s="13" t="n"/>
      <c r="D72" s="13" t="n"/>
      <c r="E72" s="13" t="n"/>
      <c r="F72" s="13" t="n"/>
      <c r="G72" s="13" t="n"/>
    </row>
    <row r="73">
      <c r="B73" s="13" t="n"/>
      <c r="C73" s="13" t="n"/>
      <c r="D73" s="13" t="n"/>
      <c r="E73" s="13" t="n"/>
      <c r="F73" s="13" t="n"/>
      <c r="G73" s="13" t="n"/>
    </row>
    <row r="74">
      <c r="B74" s="13" t="n"/>
      <c r="C74" s="13" t="n"/>
      <c r="D74" s="13" t="n"/>
      <c r="E74" s="13" t="n"/>
      <c r="F74" s="13" t="n"/>
      <c r="G74" s="13" t="n"/>
    </row>
    <row r="75">
      <c r="B75" s="13" t="n"/>
      <c r="C75" s="13" t="n"/>
      <c r="D75" s="13" t="n"/>
      <c r="E75" s="13" t="n"/>
      <c r="F75" s="13" t="n"/>
      <c r="G75" s="13" t="n"/>
    </row>
    <row r="76">
      <c r="B76" s="13" t="n"/>
      <c r="C76" s="13" t="n"/>
      <c r="D76" s="13" t="n"/>
      <c r="E76" s="13" t="n"/>
      <c r="F76" s="13" t="n"/>
      <c r="G76" s="13" t="n"/>
    </row>
    <row r="77">
      <c r="B77" s="13" t="n"/>
      <c r="C77" s="13" t="n"/>
      <c r="D77" s="13" t="n"/>
      <c r="E77" s="13" t="n"/>
      <c r="F77" s="13" t="n"/>
      <c r="G77" s="13" t="n"/>
    </row>
    <row r="78">
      <c r="B78" s="13" t="n"/>
      <c r="C78" s="13" t="n"/>
      <c r="D78" s="13" t="n"/>
      <c r="E78" s="13" t="n"/>
      <c r="F78" s="13" t="n"/>
      <c r="G78" s="13" t="n"/>
    </row>
    <row r="79">
      <c r="B79" s="13" t="n"/>
      <c r="C79" s="13" t="n"/>
      <c r="D79" s="13" t="n"/>
      <c r="E79" s="13" t="n"/>
      <c r="F79" s="13" t="n"/>
      <c r="G79" s="13" t="n"/>
    </row>
    <row r="80">
      <c r="B80" s="13" t="n"/>
      <c r="C80" s="13" t="n"/>
      <c r="D80" s="13" t="n"/>
      <c r="E80" s="13" t="n"/>
      <c r="F80" s="13" t="n"/>
      <c r="G80" s="13" t="n"/>
    </row>
    <row r="81">
      <c r="B81" s="13" t="n"/>
      <c r="C81" s="13" t="n"/>
      <c r="D81" s="13" t="n"/>
      <c r="E81" s="13" t="n"/>
      <c r="F81" s="13" t="n"/>
      <c r="G81" s="13" t="n"/>
    </row>
    <row r="82">
      <c r="B82" s="13" t="n"/>
      <c r="C82" s="13" t="n"/>
      <c r="D82" s="13" t="n"/>
      <c r="E82" s="13" t="n"/>
      <c r="F82" s="13" t="n"/>
      <c r="G82" s="13" t="n"/>
    </row>
    <row r="83">
      <c r="B83" s="13" t="n"/>
      <c r="C83" s="13" t="n"/>
      <c r="D83" s="13" t="n"/>
      <c r="E83" s="13" t="n"/>
      <c r="F83" s="13" t="n"/>
      <c r="G83" s="13" t="n"/>
    </row>
    <row r="84">
      <c r="B84" s="13" t="n"/>
      <c r="C84" s="13" t="n"/>
      <c r="D84" s="13" t="n"/>
      <c r="E84" s="13" t="n"/>
      <c r="F84" s="13" t="n"/>
      <c r="G84" s="13" t="n"/>
    </row>
    <row r="85">
      <c r="B85" s="13" t="n"/>
      <c r="C85" s="13" t="n"/>
      <c r="D85" s="13" t="n"/>
      <c r="E85" s="13" t="n"/>
      <c r="F85" s="13" t="n"/>
      <c r="G85" s="13" t="n"/>
    </row>
    <row r="86">
      <c r="B86" s="13" t="n"/>
      <c r="C86" s="13" t="n"/>
      <c r="D86" s="13" t="n"/>
      <c r="E86" s="13" t="n"/>
      <c r="F86" s="13" t="n"/>
      <c r="G86" s="13" t="n"/>
    </row>
    <row r="87">
      <c r="B87" s="13" t="n"/>
      <c r="C87" s="13" t="n"/>
      <c r="D87" s="13" t="n"/>
      <c r="E87" s="13" t="n"/>
      <c r="F87" s="13" t="n"/>
      <c r="G87" s="13" t="n"/>
    </row>
    <row r="88">
      <c r="B88" s="13" t="n"/>
      <c r="C88" s="13" t="n"/>
      <c r="D88" s="13" t="n"/>
      <c r="E88" s="13" t="n"/>
      <c r="F88" s="13" t="n"/>
      <c r="G88" s="13" t="n"/>
    </row>
    <row r="89">
      <c r="B89" s="13" t="n"/>
      <c r="C89" s="13" t="n"/>
      <c r="D89" s="13" t="n"/>
      <c r="E89" s="13" t="n"/>
      <c r="F89" s="13" t="n"/>
      <c r="G89" s="13" t="n"/>
    </row>
    <row r="90">
      <c r="B90" s="13" t="n"/>
      <c r="C90" s="13" t="n"/>
      <c r="D90" s="13" t="n"/>
      <c r="E90" s="13" t="n"/>
      <c r="F90" s="13" t="n"/>
      <c r="G90" s="13" t="n"/>
    </row>
    <row r="91">
      <c r="B91" s="13" t="n"/>
      <c r="C91" s="13" t="n"/>
      <c r="D91" s="13" t="n"/>
      <c r="E91" s="13" t="n"/>
      <c r="F91" s="13" t="n"/>
      <c r="G91" s="13" t="n"/>
    </row>
    <row r="92">
      <c r="B92" s="13" t="n"/>
      <c r="C92" s="13" t="n"/>
      <c r="D92" s="13" t="n"/>
      <c r="E92" s="13" t="n"/>
      <c r="F92" s="13" t="n"/>
      <c r="G92" s="13" t="n"/>
    </row>
    <row r="93">
      <c r="B93" s="13" t="n"/>
      <c r="C93" s="13" t="n"/>
      <c r="D93" s="13" t="n"/>
      <c r="E93" s="13" t="n"/>
      <c r="F93" s="13" t="n"/>
      <c r="G93" s="13" t="n"/>
    </row>
    <row r="94">
      <c r="B94" s="13" t="n"/>
      <c r="C94" s="13" t="n"/>
      <c r="D94" s="13" t="n"/>
      <c r="E94" s="13" t="n"/>
      <c r="F94" s="13" t="n"/>
      <c r="G94" s="13" t="n"/>
    </row>
    <row r="95">
      <c r="B95" s="13" t="n"/>
      <c r="C95" s="13" t="n"/>
      <c r="D95" s="13" t="n"/>
      <c r="E95" s="13" t="n"/>
      <c r="F95" s="13" t="n"/>
      <c r="G95" s="13" t="n"/>
    </row>
    <row r="96">
      <c r="B96" s="13" t="n"/>
      <c r="C96" s="13" t="n"/>
      <c r="D96" s="13" t="n"/>
      <c r="E96" s="13" t="n"/>
      <c r="F96" s="13" t="n"/>
      <c r="G96" s="13" t="n"/>
    </row>
    <row r="97">
      <c r="B97" s="13" t="n"/>
      <c r="C97" s="13" t="n"/>
      <c r="D97" s="13" t="n"/>
      <c r="E97" s="13" t="n"/>
      <c r="F97" s="13" t="n"/>
      <c r="G97" s="13" t="n"/>
    </row>
    <row r="98">
      <c r="B98" s="13" t="n"/>
      <c r="C98" s="13" t="n"/>
      <c r="D98" s="13" t="n"/>
      <c r="E98" s="13" t="n"/>
      <c r="F98" s="13" t="n"/>
      <c r="G98" s="13" t="n"/>
    </row>
    <row r="99">
      <c r="B99" s="13" t="n"/>
      <c r="C99" s="13" t="n"/>
      <c r="D99" s="13" t="n"/>
      <c r="E99" s="13" t="n"/>
      <c r="F99" s="13" t="n"/>
      <c r="G99" s="13" t="n"/>
    </row>
    <row r="100">
      <c r="B100" s="13" t="n"/>
      <c r="C100" s="13" t="n"/>
      <c r="D100" s="13" t="n"/>
      <c r="E100" s="13" t="n"/>
      <c r="F100" s="13" t="n"/>
      <c r="G100" s="13" t="n"/>
    </row>
    <row r="101">
      <c r="B101" s="13" t="n"/>
      <c r="C101" s="13" t="n"/>
      <c r="D101" s="13" t="n"/>
      <c r="E101" s="13" t="n"/>
      <c r="F101" s="13" t="n"/>
      <c r="G101" s="13" t="n"/>
    </row>
    <row r="102">
      <c r="B102" s="13" t="n"/>
      <c r="C102" s="13" t="n"/>
      <c r="D102" s="13" t="n"/>
      <c r="E102" s="13" t="n"/>
      <c r="F102" s="13" t="n"/>
      <c r="G102" s="13" t="n"/>
    </row>
    <row r="103">
      <c r="B103" s="13" t="n"/>
      <c r="C103" s="13" t="n"/>
      <c r="D103" s="13" t="n"/>
      <c r="E103" s="13" t="n"/>
      <c r="F103" s="13" t="n"/>
      <c r="G103" s="13" t="n"/>
    </row>
    <row r="104">
      <c r="B104" s="13" t="n"/>
      <c r="C104" s="13" t="n"/>
      <c r="D104" s="13" t="n"/>
      <c r="E104" s="13" t="n"/>
      <c r="F104" s="13" t="n"/>
      <c r="G104" s="13" t="n"/>
    </row>
    <row r="105">
      <c r="B105" s="13" t="n"/>
      <c r="C105" s="13" t="n"/>
      <c r="D105" s="13" t="n"/>
      <c r="E105" s="13" t="n"/>
      <c r="F105" s="13" t="n"/>
      <c r="G105" s="13" t="n"/>
    </row>
  </sheetData>
  <mergeCells count="1">
    <mergeCell ref="B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10" customWidth="1" min="4" max="4"/>
    <col width="11" customWidth="1" min="5" max="5"/>
    <col width="11" customWidth="1" min="6" max="6"/>
    <col width="10" customWidth="1" min="7" max="7"/>
    <col width="9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0" customWidth="1" min="15" max="15"/>
    <col width="14" customWidth="1" min="16" max="16"/>
    <col width="14" customWidth="1" min="17" max="17"/>
    <col width="11" customWidth="1" min="18" max="18"/>
    <col width="34" customWidth="1" min="19" max="19"/>
    <col width="15" customWidth="1" min="20" max="20"/>
    <col width="15" customWidth="1" min="21" max="21"/>
  </cols>
  <sheetData>
    <row r="2">
      <c r="B2" s="1" t="inlineStr">
        <is>
          <t>完了サマリ 記録表（1人1行）</t>
        </is>
      </c>
    </row>
    <row r="3">
      <c r="B3" s="2" t="inlineStr">
        <is>
          <t>※ ⑤実証結果集計はこの表の5〜19行目を参照しています。行の挿入は19行目より上で行ってください。</t>
        </is>
      </c>
    </row>
    <row r="4">
      <c r="B4" s="5" t="inlineStr">
        <is>
          <t>参加者</t>
        </is>
      </c>
      <c r="C4" s="5" t="inlineStr">
        <is>
          <t>陣</t>
        </is>
      </c>
      <c r="D4" s="5" t="inlineStr">
        <is>
          <t>達成/未達</t>
        </is>
      </c>
      <c r="E4" s="5" t="inlineStr">
        <is>
          <t>初売上までの日数</t>
        </is>
      </c>
      <c r="F4" s="5" t="inlineStr">
        <is>
          <t>総作業時間(h)</t>
        </is>
      </c>
      <c r="G4" s="5" t="inlineStr">
        <is>
          <t>売上金額</t>
        </is>
      </c>
      <c r="H4" s="5" t="inlineStr">
        <is>
          <t>購入者数</t>
        </is>
      </c>
      <c r="I4" s="5" t="inlineStr">
        <is>
          <t>開始時フォロワー</t>
        </is>
      </c>
      <c r="J4" s="5" t="inlineStr">
        <is>
          <t>本業形態</t>
        </is>
      </c>
      <c r="K4" s="5" t="inlineStr">
        <is>
          <t>1日の確保時間</t>
        </is>
      </c>
      <c r="L4" s="5" t="inlineStr">
        <is>
          <t>文章経験</t>
        </is>
      </c>
      <c r="M4" s="5" t="inlineStr">
        <is>
          <t>AI生成割合</t>
        </is>
      </c>
      <c r="N4" s="5" t="inlineStr">
        <is>
          <t>手直しの程度</t>
        </is>
      </c>
      <c r="O4" s="5" t="inlineStr">
        <is>
          <t>負荷感</t>
        </is>
      </c>
      <c r="P4" s="5" t="inlineStr">
        <is>
          <t>最もつまずいた工程</t>
        </is>
      </c>
      <c r="Q4" s="5" t="inlineStr">
        <is>
          <t>推奨度(0-10)</t>
        </is>
      </c>
      <c r="R4" s="5" t="inlineStr">
        <is>
          <t>公開名義</t>
        </is>
      </c>
      <c r="S4" s="5" t="inlineStr">
        <is>
          <t>体験談</t>
        </is>
      </c>
      <c r="T4" s="5" t="inlineStr">
        <is>
          <t>補助:達成者の日数</t>
        </is>
      </c>
      <c r="U4" s="5" t="inlineStr">
        <is>
          <t>補助:達成者の作業時間</t>
        </is>
      </c>
    </row>
    <row r="5"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8">
        <f>IF($D5="達成",$E5,"")</f>
        <v/>
      </c>
      <c r="U5" s="8">
        <f>IF($D5="達成",$F5,"")</f>
        <v/>
      </c>
    </row>
    <row r="6"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8">
        <f>IF($D6="達成",$E6,"")</f>
        <v/>
      </c>
      <c r="U6" s="8">
        <f>IF($D6="達成",$F6,"")</f>
        <v/>
      </c>
    </row>
    <row r="7"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8">
        <f>IF($D7="達成",$E7,"")</f>
        <v/>
      </c>
      <c r="U7" s="8">
        <f>IF($D7="達成",$F7,"")</f>
        <v/>
      </c>
    </row>
    <row r="8"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8">
        <f>IF($D8="達成",$E8,"")</f>
        <v/>
      </c>
      <c r="U8" s="8">
        <f>IF($D8="達成",$F8,"")</f>
        <v/>
      </c>
    </row>
    <row r="9"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8">
        <f>IF($D9="達成",$E9,"")</f>
        <v/>
      </c>
      <c r="U9" s="8">
        <f>IF($D9="達成",$F9,"")</f>
        <v/>
      </c>
    </row>
    <row r="10"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8">
        <f>IF($D10="達成",$E10,"")</f>
        <v/>
      </c>
      <c r="U10" s="8">
        <f>IF($D10="達成",$F10,"")</f>
        <v/>
      </c>
    </row>
    <row r="11"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8">
        <f>IF($D11="達成",$E11,"")</f>
        <v/>
      </c>
      <c r="U11" s="8">
        <f>IF($D11="達成",$F11,"")</f>
        <v/>
      </c>
    </row>
    <row r="12"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8">
        <f>IF($D12="達成",$E12,"")</f>
        <v/>
      </c>
      <c r="U12" s="8">
        <f>IF($D12="達成",$F12,"")</f>
        <v/>
      </c>
    </row>
    <row r="13"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8">
        <f>IF($D13="達成",$E13,"")</f>
        <v/>
      </c>
      <c r="U13" s="8">
        <f>IF($D13="達成",$F13,"")</f>
        <v/>
      </c>
    </row>
    <row r="14"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8">
        <f>IF($D14="達成",$E14,"")</f>
        <v/>
      </c>
      <c r="U14" s="8">
        <f>IF($D14="達成",$F14,"")</f>
        <v/>
      </c>
    </row>
    <row r="15"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8">
        <f>IF($D15="達成",$E15,"")</f>
        <v/>
      </c>
      <c r="U15" s="8">
        <f>IF($D15="達成",$F15,"")</f>
        <v/>
      </c>
    </row>
    <row r="16"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8">
        <f>IF($D16="達成",$E16,"")</f>
        <v/>
      </c>
      <c r="U16" s="8">
        <f>IF($D16="達成",$F16,"")</f>
        <v/>
      </c>
    </row>
    <row r="17"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8">
        <f>IF($D17="達成",$E17,"")</f>
        <v/>
      </c>
      <c r="U17" s="8">
        <f>IF($D17="達成",$F17,"")</f>
        <v/>
      </c>
    </row>
    <row r="18"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8">
        <f>IF($D18="達成",$E18,"")</f>
        <v/>
      </c>
      <c r="U18" s="8">
        <f>IF($D18="達成",$F18,"")</f>
        <v/>
      </c>
    </row>
    <row r="19"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8">
        <f>IF($D19="達成",$E19,"")</f>
        <v/>
      </c>
      <c r="U19" s="8">
        <f>IF($D19="達成",$F19,"")</f>
        <v/>
      </c>
    </row>
    <row r="21">
      <c r="B21" s="2" t="inlineStr">
        <is>
          <t>凡例：黄色セルが入力欄です。「陣」は「第1陣」「第2陣」、「達成/未達」は「達成」「未達」と入力してください（⑤の集計がこの表記を参照しています）。</t>
        </is>
      </c>
      <c r="T21" s="2" t="inlineStr">
        <is>
          <t>補助列は自動計算です。手入力しないでください。</t>
        </is>
      </c>
    </row>
  </sheetData>
  <mergeCells count="1">
    <mergeCell ref="B2:S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3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58" customWidth="1" min="4" max="4"/>
  </cols>
  <sheetData>
    <row r="2">
      <c r="B2" s="1" t="inlineStr">
        <is>
          <t>実証結果 集計（運営提示用）</t>
        </is>
      </c>
    </row>
    <row r="3">
      <c r="B3" s="2" t="inlineStr">
        <is>
          <t>※ ④完了サマリから自動計算されます。データ未入力の間は「-」と表示されます。</t>
        </is>
      </c>
    </row>
    <row r="5">
      <c r="B5" s="3" t="inlineStr">
        <is>
          <t>全体</t>
        </is>
      </c>
    </row>
    <row r="6">
      <c r="B6" s="5" t="inlineStr">
        <is>
          <t>指標</t>
        </is>
      </c>
      <c r="C6" s="5" t="inlineStr">
        <is>
          <t>値</t>
        </is>
      </c>
      <c r="D6" s="5" t="inlineStr">
        <is>
          <t>備考</t>
        </is>
      </c>
    </row>
    <row r="7">
      <c r="B7" s="7" t="inlineStr">
        <is>
          <t>参加者数（除外者を除く）</t>
        </is>
      </c>
      <c r="C7" s="8">
        <f>COUNTA('④完了サマリ'!B5:B19)</f>
        <v/>
      </c>
      <c r="D7" s="7" t="inlineStr">
        <is>
          <t>④に記録された人数</t>
        </is>
      </c>
    </row>
    <row r="8">
      <c r="B8" s="7" t="inlineStr">
        <is>
          <t>達成者数</t>
        </is>
      </c>
      <c r="C8" s="8">
        <f>COUNTIF('④完了サマリ'!D5:D19,"達成")</f>
        <v/>
      </c>
      <c r="D8" s="7" t="inlineStr"/>
    </row>
    <row r="9">
      <c r="B9" s="7" t="inlineStr">
        <is>
          <t>達成率</t>
        </is>
      </c>
      <c r="C9" s="15">
        <f>IF($C$7=0,"-",$C$8/$C$7)</f>
        <v/>
      </c>
      <c r="D9" s="7" t="inlineStr">
        <is>
          <t>モニターは改善の場のため、この数字単体では評価しない</t>
        </is>
      </c>
    </row>
    <row r="10">
      <c r="B10" s="7" t="inlineStr">
        <is>
          <t>平均 初売上までの日数</t>
        </is>
      </c>
      <c r="C10" s="16">
        <f>IF($C$8=0,"-",AVERAGEIFS('④完了サマリ'!E5:E19,'④完了サマリ'!D5:D19,"達成"))</f>
        <v/>
      </c>
      <c r="D10" s="7" t="inlineStr">
        <is>
          <t>達成者のみ</t>
        </is>
      </c>
    </row>
    <row r="11">
      <c r="B11" s="7" t="inlineStr">
        <is>
          <t>最短 初売上までの日数</t>
        </is>
      </c>
      <c r="C11" s="16">
        <f>IF($C$8=0,"-",MIN('④完了サマリ'!T5:T19))</f>
        <v/>
      </c>
      <c r="D11" s="7" t="inlineStr"/>
    </row>
    <row r="12">
      <c r="B12" s="7" t="inlineStr">
        <is>
          <t>最長 初売上までの日数</t>
        </is>
      </c>
      <c r="C12" s="16">
        <f>IF($C$8=0,"-",MAX('④完了サマリ'!T5:T19))</f>
        <v/>
      </c>
      <c r="D12" s="7" t="inlineStr"/>
    </row>
    <row r="13">
      <c r="B13" s="11" t="inlineStr">
        <is>
          <t>平均 総作業時間（時間）</t>
        </is>
      </c>
      <c r="C13" s="16">
        <f>IF($C$8=0,"-",AVERAGEIFS('④完了サマリ'!F5:F19,'④完了サマリ'!D5:D19,"達成"))</f>
        <v/>
      </c>
      <c r="D13" s="7" t="inlineStr">
        <is>
          <t>★ 差別化の中核指標</t>
        </is>
      </c>
    </row>
    <row r="14">
      <c r="B14" s="7" t="inlineStr">
        <is>
          <t>最短 総作業時間（時間）</t>
        </is>
      </c>
      <c r="C14" s="16">
        <f>IF($C$8=0,"-",MIN('④完了サマリ'!U5:U19))</f>
        <v/>
      </c>
      <c r="D14" s="7" t="inlineStr"/>
    </row>
    <row r="15">
      <c r="B15" s="7" t="inlineStr">
        <is>
          <t>平均 推奨度（0-10）</t>
        </is>
      </c>
      <c r="C15" s="16">
        <f>IF($C$8=0,"-",AVERAGEIFS('④完了サマリ'!Q5:Q19,'④完了サマリ'!D5:D19,"達成"))</f>
        <v/>
      </c>
      <c r="D15" s="7" t="inlineStr"/>
    </row>
    <row r="17">
      <c r="B17" s="3" t="inlineStr">
        <is>
          <t>陣別（改善効果を示す）</t>
        </is>
      </c>
    </row>
    <row r="18">
      <c r="B18" s="5" t="inlineStr">
        <is>
          <t>指標</t>
        </is>
      </c>
      <c r="C18" s="5" t="inlineStr">
        <is>
          <t>値</t>
        </is>
      </c>
      <c r="D18" s="5" t="inlineStr">
        <is>
          <t>備考</t>
        </is>
      </c>
    </row>
    <row r="19">
      <c r="B19" s="7" t="inlineStr">
        <is>
          <t>第1陣 参加者数</t>
        </is>
      </c>
      <c r="C19" s="8">
        <f>COUNTIF('④完了サマリ'!C5:C19,"第1陣")</f>
        <v/>
      </c>
      <c r="D19" s="7" t="inlineStr">
        <is>
          <t>穴出しが目的。達成率は実証数字に含めない</t>
        </is>
      </c>
    </row>
    <row r="20">
      <c r="B20" s="7" t="inlineStr">
        <is>
          <t>第1陣 達成者数</t>
        </is>
      </c>
      <c r="C20" s="8">
        <f>COUNTIFS('④完了サマリ'!C5:C19,"第1陣",'④完了サマリ'!D5:D19,"達成")</f>
        <v/>
      </c>
      <c r="D20" s="7" t="inlineStr"/>
    </row>
    <row r="21">
      <c r="B21" s="7" t="inlineStr">
        <is>
          <t>第2陣 参加者数</t>
        </is>
      </c>
      <c r="C21" s="8">
        <f>COUNTIF('④完了サマリ'!C5:C19,"第2陣")</f>
        <v/>
      </c>
      <c r="D21" s="7" t="inlineStr">
        <is>
          <t>改善後</t>
        </is>
      </c>
    </row>
    <row r="22">
      <c r="B22" s="7" t="inlineStr">
        <is>
          <t>第2陣 達成者数</t>
        </is>
      </c>
      <c r="C22" s="8">
        <f>COUNTIFS('④完了サマリ'!C5:C19,"第2陣",'④完了サマリ'!D5:D19,"達成")</f>
        <v/>
      </c>
      <c r="D22" s="7" t="inlineStr"/>
    </row>
    <row r="23">
      <c r="B23" s="11" t="inlineStr">
        <is>
          <t>第2陣 達成率</t>
        </is>
      </c>
      <c r="C23" s="15">
        <f>IF(COUNTIFS('④完了サマリ'!C5:C19,"第2陣")=0,"-",COUNTIFS('④完了サマリ'!C5:C19,"第2陣",'④完了サマリ'!D5:D19,"達成")/COUNTIFS('④完了サマリ'!C5:C19,"第2陣"))</f>
        <v/>
      </c>
      <c r="D23" s="7" t="inlineStr">
        <is>
          <t>★ 運営に提示する数字はこれ</t>
        </is>
      </c>
    </row>
    <row r="25">
      <c r="B25" s="3" t="inlineStr">
        <is>
          <t>改善サイクル（PDCA）の記録</t>
        </is>
      </c>
    </row>
    <row r="26">
      <c r="B26" s="5" t="inlineStr">
        <is>
          <t>回</t>
        </is>
      </c>
      <c r="C26" s="5" t="inlineStr">
        <is>
          <t>第1陣で判明した詰まり</t>
        </is>
      </c>
      <c r="D26" s="5" t="inlineStr">
        <is>
          <t>手順・ツール・レクチャーへの反映内容</t>
        </is>
      </c>
    </row>
    <row r="27" ht="22" customHeight="1">
      <c r="B27" s="8" t="n">
        <v>1</v>
      </c>
      <c r="C27" s="17" t="n"/>
      <c r="D27" s="17" t="n"/>
    </row>
    <row r="28" ht="22" customHeight="1">
      <c r="B28" s="8" t="n">
        <v>2</v>
      </c>
      <c r="C28" s="17" t="n"/>
      <c r="D28" s="17" t="n"/>
    </row>
    <row r="29" ht="22" customHeight="1">
      <c r="B29" s="8" t="n">
        <v>3</v>
      </c>
      <c r="C29" s="17" t="n"/>
      <c r="D29" s="17" t="n"/>
    </row>
    <row r="30" ht="22" customHeight="1">
      <c r="B30" s="8" t="n">
        <v>4</v>
      </c>
      <c r="C30" s="17" t="n"/>
      <c r="D30" s="17" t="n"/>
    </row>
    <row r="31" ht="22" customHeight="1">
      <c r="B31" s="8" t="n">
        <v>5</v>
      </c>
      <c r="C31" s="17" t="n"/>
      <c r="D31" s="17" t="n"/>
    </row>
    <row r="32" ht="22" customHeight="1">
      <c r="B32" s="8" t="n">
        <v>6</v>
      </c>
      <c r="C32" s="17" t="n"/>
      <c r="D32" s="17" t="n"/>
    </row>
    <row r="34">
      <c r="B34" s="3" t="inlineStr">
        <is>
          <t>運営提示用サマリ（実証完了後に清書する）</t>
        </is>
      </c>
    </row>
    <row r="35">
      <c r="B35" s="4" t="inlineStr">
        <is>
          <t>例）フォロワー0の新規アカウントから、第2陣7名中◯名が◯日以内にnoteで初売上を達成。</t>
        </is>
      </c>
    </row>
    <row r="36">
      <c r="B36" s="4" t="inlineStr">
        <is>
          <t xml:space="preserve">　　平均総作業時間は◯時間。うち◯名はフルタイム勤務・文章未経験。</t>
        </is>
      </c>
    </row>
    <row r="37">
      <c r="B37" s="4" t="inlineStr">
        <is>
          <t xml:space="preserve">　　第1陣で判明した詰まり◯件をレクチャーと手順書に反映した上での結果。</t>
        </is>
      </c>
    </row>
    <row r="38">
      <c r="B38" s="12" t="inlineStr">
        <is>
          <t>※ 集計結果を転記して使用すること。検証されていない数値を売り文句にしない</t>
        </is>
      </c>
    </row>
    <row r="39">
      <c r="B39" s="12" t="inlineStr">
        <is>
          <t xml:space="preserve">　（Step4-3「誇大な表現で煽って売る人、根拠のない約束をする人」に自分が該当しないため）。</t>
        </is>
      </c>
    </row>
  </sheetData>
  <mergeCells count="10">
    <mergeCell ref="B5:D5"/>
    <mergeCell ref="B36:D36"/>
    <mergeCell ref="B37:D37"/>
    <mergeCell ref="B35:D35"/>
    <mergeCell ref="B17:D17"/>
    <mergeCell ref="B39:D39"/>
    <mergeCell ref="B25:D25"/>
    <mergeCell ref="B38:D38"/>
    <mergeCell ref="B2:D2"/>
    <mergeCell ref="B34:D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2026-08-08T03:42:19Z</dcterms:created>
  <dcterms:modified xsi:type="dcterms:W3CDTF">2026-08-08T03:42:31Z</dcterms:modified>
</cp:coreProperties>
</file>
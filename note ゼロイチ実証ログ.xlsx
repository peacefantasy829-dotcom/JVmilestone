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募集要項" sheetId="1" state="visible" r:id="rId1"/>
    <sheet name="②設問設計" sheetId="2" state="visible" r:id="rId2"/>
    <sheet name="③日次ログ" sheetId="3" state="visible" r:id="rId3"/>
    <sheet name="④完了サマリ" sheetId="4" state="visible" r:id="rId4"/>
    <sheet name="⑤実証結果集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Calibri"/>
      <color rgb="00808080"/>
      <sz val="9"/>
    </font>
    <font>
      <name val="Arial"/>
      <b val="1"/>
      <sz val="10"/>
    </font>
    <font>
      <name val="Arial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color rgb="000000FF"/>
      <sz val="10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546A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0" fillId="0" borderId="1" pivotButton="0" quotePrefix="0" xfId="0"/>
    <xf numFmtId="0" fontId="5" fillId="5" borderId="1" pivotButton="0" quotePrefix="0" xfId="0"/>
    <xf numFmtId="164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9"/>
  <sheetViews>
    <sheetView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62" customWidth="1" min="3" max="3"/>
    <col width="46" customWidth="1" min="4" max="4"/>
  </cols>
  <sheetData>
    <row r="2">
      <c r="B2" s="1" t="inlineStr">
        <is>
          <t>note ゼロイチ実証モニター 募集要項・参加条件</t>
        </is>
      </c>
    </row>
    <row r="3">
      <c r="B3" s="2" t="inlineStr">
        <is>
          <t>※ このシートは募集文の下書きです。実際の募集時にコピーして使用してください。</t>
        </is>
      </c>
    </row>
    <row r="5">
      <c r="B5" s="3" t="inlineStr">
        <is>
          <t>段階投入の設計</t>
        </is>
      </c>
    </row>
    <row r="6">
      <c r="B6" s="4" t="inlineStr">
        <is>
          <t>段階</t>
        </is>
      </c>
      <c r="C6" s="4" t="inlineStr">
        <is>
          <t>人数</t>
        </is>
      </c>
      <c r="D6" s="4" t="inlineStr">
        <is>
          <t>目的・扱い</t>
        </is>
      </c>
    </row>
    <row r="7" ht="30" customHeight="1">
      <c r="B7" s="5" t="inlineStr">
        <is>
          <t>0. 自分</t>
        </is>
      </c>
      <c r="C7" s="6" t="inlineStr">
        <is>
          <t>1名（本人）</t>
        </is>
      </c>
      <c r="D7" s="6" t="inlineStr">
        <is>
          <t>新規0フォロワーアカウントで完走し、手順を体系化する。ここが終わるまでモニターは開始しない。</t>
        </is>
      </c>
    </row>
    <row r="8" ht="30" customHeight="1">
      <c r="B8" s="5" t="inlineStr">
        <is>
          <t>1. 第1陣</t>
        </is>
      </c>
      <c r="C8" s="6" t="inlineStr">
        <is>
          <t>3名</t>
        </is>
      </c>
      <c r="D8" s="6" t="inlineStr">
        <is>
          <t>教材の穴出しが目的。達成率は実証数字に含めない。募集時に「検証目的である」と明示する。</t>
        </is>
      </c>
    </row>
    <row r="9" ht="30" customHeight="1">
      <c r="B9" s="5" t="inlineStr">
        <is>
          <t>2. 改善</t>
        </is>
      </c>
      <c r="C9" s="6" t="inlineStr">
        <is>
          <t>—</t>
        </is>
      </c>
      <c r="D9" s="6" t="inlineStr">
        <is>
          <t>第1陣が詰まった箇所を教材・手順に反映する。</t>
        </is>
      </c>
    </row>
    <row r="10" ht="30" customHeight="1">
      <c r="B10" s="5" t="inlineStr">
        <is>
          <t>3. 第2陣</t>
        </is>
      </c>
      <c r="C10" s="6" t="inlineStr">
        <is>
          <t>7名</t>
        </is>
      </c>
      <c r="D10" s="6" t="inlineStr">
        <is>
          <t>本番。ここの達成率を実証数字として運営に提示する。</t>
        </is>
      </c>
    </row>
    <row r="12">
      <c r="B12" s="3" t="inlineStr">
        <is>
          <t>参加条件（すべて満たす方）</t>
        </is>
      </c>
    </row>
    <row r="13">
      <c r="B13" s="4" t="inlineStr">
        <is>
          <t>#</t>
        </is>
      </c>
      <c r="C13" s="4" t="inlineStr">
        <is>
          <t>条件</t>
        </is>
      </c>
      <c r="D13" s="4" t="inlineStr">
        <is>
          <t>なぜこの条件が必要か</t>
        </is>
      </c>
    </row>
    <row r="14" ht="30" customHeight="1">
      <c r="B14" s="7" t="n">
        <v>1</v>
      </c>
      <c r="C14" s="6" t="inlineStr">
        <is>
          <t>コンテンツ販売での売上が0円の方（ゼロイチ未達）</t>
        </is>
      </c>
      <c r="D14" s="6" t="inlineStr">
        <is>
          <t>「ゼロイチを達成させた」という主張の前提。すでに売上がある人が達成しても証拠にならない。</t>
        </is>
      </c>
    </row>
    <row r="15" ht="30" customHeight="1">
      <c r="B15" s="7" t="n">
        <v>2</v>
      </c>
      <c r="C15" s="6" t="inlineStr">
        <is>
          <t>noteの新規アカウントを用意できる方（フォロワー0から開始）</t>
        </is>
      </c>
      <c r="D15" s="6" t="inlineStr">
        <is>
          <t>「フォロワー0から売れる」ことの証明に必須。既存アカウントでは再現性を主張できない。</t>
        </is>
      </c>
    </row>
    <row r="16" ht="30" customHeight="1">
      <c r="B16" s="7" t="n">
        <v>3</v>
      </c>
      <c r="C16" s="6" t="inlineStr">
        <is>
          <t>1日30分以上の作業時間を確保できる方（1週間）</t>
        </is>
      </c>
      <c r="D16" s="6" t="inlineStr">
        <is>
          <t>「集中できる方」では主観になり測れない。時間で定義することで、そのまま低負荷の証拠になる。</t>
        </is>
      </c>
    </row>
    <row r="17" ht="30" customHeight="1">
      <c r="B17" s="7" t="n">
        <v>4</v>
      </c>
      <c r="C17" s="6" t="inlineStr">
        <is>
          <t>Claudeのサブスクを契約できる方</t>
        </is>
      </c>
      <c r="D17" s="6" t="inlineStr">
        <is>
          <t>AIツールの利用が前提のため。※自分の検証時に無料版で回るか確認し、可能なら条件から外す。</t>
        </is>
      </c>
    </row>
    <row r="18" ht="30" customHeight="1">
      <c r="B18" s="8" t="n">
        <v>5</v>
      </c>
      <c r="C18" s="9" t="inlineStr">
        <is>
          <t>実証ログを毎日提出できる方（Googleフォーム／所要2〜3分）</t>
        </is>
      </c>
      <c r="D18" s="10" t="inlineStr">
        <is>
          <t>最優先の条件。ログが取れなければ実証そのものが成立しない。</t>
        </is>
      </c>
    </row>
    <row r="19" ht="30" customHeight="1">
      <c r="B19" s="8" t="n">
        <v>6</v>
      </c>
      <c r="C19" s="9" t="inlineStr">
        <is>
          <t>成果・体験談の公開に同意できる方（実名/ニックネーム/匿名は選択可）</t>
        </is>
      </c>
      <c r="D19" s="10" t="inlineStr">
        <is>
          <t>事例として使用するため。後から依頼すると断られるので入口で取得する。</t>
        </is>
      </c>
    </row>
    <row r="21">
      <c r="B21" s="3" t="inlineStr">
        <is>
          <t>辞退・除外の扱い（募集時に明記）</t>
        </is>
      </c>
    </row>
    <row r="22">
      <c r="B22" s="11" t="inlineStr">
        <is>
          <t>・3日以上ログの提出および連絡がない場合は、辞退とみなし実証対象から除外します。</t>
        </is>
      </c>
    </row>
    <row r="23">
      <c r="B23" s="11" t="inlineStr">
        <is>
          <t>・除外者は達成率の母数から外し、その旨を実証結果に明記します（母数を操作しないため）。</t>
        </is>
      </c>
    </row>
    <row r="24">
      <c r="B24" s="11" t="inlineStr">
        <is>
          <t>・期間内に売上が発生しなかった場合も、ログは最後まで提出をお願いします（改善材料として最も価値があるため）。</t>
        </is>
      </c>
    </row>
    <row r="26">
      <c r="B26" s="3" t="inlineStr">
        <is>
          <t>参加者に約束すること</t>
        </is>
      </c>
    </row>
    <row r="27">
      <c r="B27" s="11" t="inlineStr">
        <is>
          <t>・手順書、AIツール、テンプレートの提供</t>
        </is>
      </c>
    </row>
    <row r="28">
      <c r="B28" s="11" t="inlineStr">
        <is>
          <t>・期間中の質問対応（詰まった箇所は必ず解消する）</t>
        </is>
      </c>
    </row>
    <row r="29">
      <c r="B29" s="12" t="inlineStr">
        <is>
          <t>・※ 具体的な提供内容・価格・サポート範囲は本人記入</t>
        </is>
      </c>
    </row>
  </sheetData>
  <mergeCells count="11">
    <mergeCell ref="B28:D28"/>
    <mergeCell ref="B5:D5"/>
    <mergeCell ref="B29:D29"/>
    <mergeCell ref="B23:D23"/>
    <mergeCell ref="B22:D22"/>
    <mergeCell ref="B26:D26"/>
    <mergeCell ref="B27:D27"/>
    <mergeCell ref="B21:D21"/>
    <mergeCell ref="B12:D12"/>
    <mergeCell ref="B24:D24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47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38" customWidth="1" min="3" max="3"/>
    <col width="14" customWidth="1" min="4" max="4"/>
    <col width="50" customWidth="1" min="5" max="5"/>
    <col width="34" customWidth="1" min="6" max="6"/>
  </cols>
  <sheetData>
    <row r="2">
      <c r="B2" s="1" t="inlineStr">
        <is>
          <t>実証ログ 設問設計（Googleフォーム転記用）</t>
        </is>
      </c>
    </row>
    <row r="3">
      <c r="B3" s="2" t="inlineStr">
        <is>
          <t>※ フォームは3つ作成します：A=参加時プロフィール（1回）／B=日次ログ（毎日）／C=完了サマリ（終了時1回）</t>
        </is>
      </c>
    </row>
    <row r="5">
      <c r="B5" s="3" t="inlineStr">
        <is>
          <t>フォームA｜参加時プロフィール（開始前に1回）</t>
        </is>
      </c>
    </row>
    <row r="6">
      <c r="B6" s="4" t="inlineStr">
        <is>
          <t>#</t>
        </is>
      </c>
      <c r="C6" s="4" t="inlineStr">
        <is>
          <t>設問</t>
        </is>
      </c>
      <c r="D6" s="4" t="inlineStr">
        <is>
          <t>回答形式</t>
        </is>
      </c>
      <c r="E6" s="4" t="inlineStr">
        <is>
          <t>選択肢</t>
        </is>
      </c>
      <c r="F6" s="4" t="inlineStr">
        <is>
          <t>何の証拠になるか</t>
        </is>
      </c>
    </row>
    <row r="7" ht="28" customHeight="1">
      <c r="B7" s="7" t="n">
        <v>1</v>
      </c>
      <c r="C7" s="6" t="inlineStr">
        <is>
          <t>お名前（ニックネーム可）</t>
        </is>
      </c>
      <c r="D7" s="7" t="inlineStr">
        <is>
          <t>記述</t>
        </is>
      </c>
      <c r="E7" s="6" t="inlineStr"/>
      <c r="F7" s="6" t="inlineStr">
        <is>
          <t>識別用</t>
        </is>
      </c>
    </row>
    <row r="8" ht="28" customHeight="1">
      <c r="B8" s="7" t="n">
        <v>2</v>
      </c>
      <c r="C8" s="6" t="inlineStr">
        <is>
          <t>開始日</t>
        </is>
      </c>
      <c r="D8" s="7" t="inlineStr">
        <is>
          <t>日付</t>
        </is>
      </c>
      <c r="E8" s="6" t="inlineStr"/>
      <c r="F8" s="6" t="inlineStr">
        <is>
          <t>経過日数の起点</t>
        </is>
      </c>
    </row>
    <row r="9" ht="28" customHeight="1">
      <c r="B9" s="7" t="n">
        <v>3</v>
      </c>
      <c r="C9" s="6" t="inlineStr">
        <is>
          <t>第何陣ですか</t>
        </is>
      </c>
      <c r="D9" s="7" t="inlineStr">
        <is>
          <t>選択</t>
        </is>
      </c>
      <c r="E9" s="6" t="inlineStr">
        <is>
          <t>第1陣 / 第2陣</t>
        </is>
      </c>
      <c r="F9" s="6" t="inlineStr">
        <is>
          <t>陣別の達成率を出すため</t>
        </is>
      </c>
    </row>
    <row r="10" ht="28" customHeight="1">
      <c r="B10" s="7" t="n">
        <v>4</v>
      </c>
      <c r="C10" s="6" t="inlineStr">
        <is>
          <t>本業の形態</t>
        </is>
      </c>
      <c r="D10" s="7" t="inlineStr">
        <is>
          <t>選択</t>
        </is>
      </c>
      <c r="E10" s="6" t="inlineStr">
        <is>
          <t>フルタイム勤務 / パート・アルバイト / 専業主婦・主夫 / 自営 / 無職・休職中 / その他</t>
        </is>
      </c>
      <c r="F10" s="6" t="inlineStr">
        <is>
          <t>「忙しい人でも達成できた」の裏付け</t>
        </is>
      </c>
    </row>
    <row r="11" ht="28" customHeight="1">
      <c r="B11" s="7" t="n">
        <v>5</v>
      </c>
      <c r="C11" s="6" t="inlineStr">
        <is>
          <t>1日に確保できる作業時間</t>
        </is>
      </c>
      <c r="D11" s="7" t="inlineStr">
        <is>
          <t>選択</t>
        </is>
      </c>
      <c r="E11" s="6" t="inlineStr">
        <is>
          <t>30分未満 / 30分〜1時間 / 1〜2時間 / 2時間以上</t>
        </is>
      </c>
      <c r="F11" s="6" t="inlineStr">
        <is>
          <t>低負荷であることの前提条件</t>
        </is>
      </c>
    </row>
    <row r="12" ht="28" customHeight="1">
      <c r="B12" s="7" t="n">
        <v>6</v>
      </c>
      <c r="C12" s="6" t="inlineStr">
        <is>
          <t>文章を書いた経験</t>
        </is>
      </c>
      <c r="D12" s="7" t="inlineStr">
        <is>
          <t>選択</t>
        </is>
      </c>
      <c r="E12" s="6" t="inlineStr">
        <is>
          <t>ほぼない / SNS投稿程度 / ブログ経験あり / 仕事で日常的に書く</t>
        </is>
      </c>
      <c r="F12" s="6" t="inlineStr">
        <is>
          <t>「文章未経験でもできた」の裏付け</t>
        </is>
      </c>
    </row>
    <row r="13" ht="28" customHeight="1">
      <c r="B13" s="7" t="n">
        <v>7</v>
      </c>
      <c r="C13" s="6" t="inlineStr">
        <is>
          <t>noteの利用経験</t>
        </is>
      </c>
      <c r="D13" s="7" t="inlineStr">
        <is>
          <t>選択</t>
        </is>
      </c>
      <c r="E13" s="6" t="inlineStr">
        <is>
          <t>使ったことがない / 読むだけ / 無料記事を書いたことがある</t>
        </is>
      </c>
      <c r="F13" s="6" t="inlineStr">
        <is>
          <t>開始地点の記録</t>
        </is>
      </c>
    </row>
    <row r="14" ht="28" customHeight="1">
      <c r="B14" s="7" t="n">
        <v>8</v>
      </c>
      <c r="C14" s="6" t="inlineStr">
        <is>
          <t>これまでのコンテンツ販売の売上</t>
        </is>
      </c>
      <c r="D14" s="7" t="inlineStr">
        <is>
          <t>選択</t>
        </is>
      </c>
      <c r="E14" s="6" t="inlineStr">
        <is>
          <t>0円 / 1〜9,999円 / 1万円以上</t>
        </is>
      </c>
      <c r="F14" s="6" t="inlineStr">
        <is>
          <t>ゼロイチ未達の確認（参加条件）</t>
        </is>
      </c>
    </row>
    <row r="15" ht="28" customHeight="1">
      <c r="B15" s="7" t="n">
        <v>9</v>
      </c>
      <c r="C15" s="6" t="inlineStr">
        <is>
          <t>開始時のフォロワー数</t>
        </is>
      </c>
      <c r="D15" s="7" t="inlineStr">
        <is>
          <t>数値</t>
        </is>
      </c>
      <c r="E15" s="6" t="inlineStr"/>
      <c r="F15" s="6" t="inlineStr">
        <is>
          <t>0からの達成であることの証明</t>
        </is>
      </c>
    </row>
    <row r="16" ht="28" customHeight="1">
      <c r="B16" s="7" t="n">
        <v>10</v>
      </c>
      <c r="C16" s="6" t="inlineStr">
        <is>
          <t>AIツールの使用経験</t>
        </is>
      </c>
      <c r="D16" s="7" t="inlineStr">
        <is>
          <t>選択</t>
        </is>
      </c>
      <c r="E16" s="6" t="inlineStr">
        <is>
          <t>まったくない / 少し使ったことがある / 日常的に使う</t>
        </is>
      </c>
      <c r="F16" s="6" t="inlineStr">
        <is>
          <t>「AI初心者でもできた」の裏付け</t>
        </is>
      </c>
    </row>
    <row r="17" ht="28" customHeight="1">
      <c r="B17" s="7" t="n">
        <v>11</v>
      </c>
      <c r="C17" s="6" t="inlineStr">
        <is>
          <t>販売する題材（ネタ）はありますか</t>
        </is>
      </c>
      <c r="D17" s="7" t="inlineStr">
        <is>
          <t>選択</t>
        </is>
      </c>
      <c r="E17" s="6" t="inlineStr">
        <is>
          <t>すでに決まっている / 候補はある / まったくない</t>
        </is>
      </c>
      <c r="F17" s="6" t="inlineStr">
        <is>
          <t>題材ゼロの人でも到達できるかの検証</t>
        </is>
      </c>
    </row>
    <row r="19">
      <c r="B19" s="3" t="inlineStr">
        <is>
          <t>フォームB｜日次ログ（毎日・所要2〜3分）</t>
        </is>
      </c>
    </row>
    <row r="20">
      <c r="B20" s="4" t="inlineStr">
        <is>
          <t>#</t>
        </is>
      </c>
      <c r="C20" s="4" t="inlineStr">
        <is>
          <t>設問</t>
        </is>
      </c>
      <c r="D20" s="4" t="inlineStr">
        <is>
          <t>回答形式</t>
        </is>
      </c>
      <c r="E20" s="4" t="inlineStr">
        <is>
          <t>選択肢</t>
        </is>
      </c>
      <c r="F20" s="4" t="inlineStr">
        <is>
          <t>何の証拠になるか</t>
        </is>
      </c>
    </row>
    <row r="21" ht="28" customHeight="1">
      <c r="B21" s="7" t="n">
        <v>1</v>
      </c>
      <c r="C21" s="6" t="inlineStr">
        <is>
          <t>お名前（ニックネーム可）</t>
        </is>
      </c>
      <c r="D21" s="7" t="inlineStr">
        <is>
          <t>記述</t>
        </is>
      </c>
      <c r="E21" s="6" t="inlineStr"/>
      <c r="F21" s="6" t="inlineStr">
        <is>
          <t>個人の紐付け</t>
        </is>
      </c>
    </row>
    <row r="22" ht="28" customHeight="1">
      <c r="B22" s="7" t="n">
        <v>2</v>
      </c>
      <c r="C22" s="6" t="inlineStr">
        <is>
          <t>日付</t>
        </is>
      </c>
      <c r="D22" s="7" t="inlineStr">
        <is>
          <t>日付</t>
        </is>
      </c>
      <c r="E22" s="6" t="inlineStr"/>
      <c r="F22" s="6" t="inlineStr">
        <is>
          <t>経過日数の算出</t>
        </is>
      </c>
    </row>
    <row r="23" ht="28" customHeight="1">
      <c r="B23" s="7" t="n">
        <v>3</v>
      </c>
      <c r="C23" s="6" t="inlineStr">
        <is>
          <t>何日目ですか</t>
        </is>
      </c>
      <c r="D23" s="7" t="inlineStr">
        <is>
          <t>数値</t>
        </is>
      </c>
      <c r="E23" s="6" t="inlineStr"/>
      <c r="F23" s="6" t="inlineStr">
        <is>
          <t>経過日数</t>
        </is>
      </c>
    </row>
    <row r="24" ht="28" customHeight="1">
      <c r="B24" s="7" t="n">
        <v>4</v>
      </c>
      <c r="C24" s="6" t="inlineStr">
        <is>
          <t>今日の作業時間</t>
        </is>
      </c>
      <c r="D24" s="7" t="inlineStr">
        <is>
          <t>選択</t>
        </is>
      </c>
      <c r="E24" s="6" t="inlineStr">
        <is>
          <t>30分未満 / 30分〜1時間 / 1〜2時間 / 2〜3時間 / 3時間以上</t>
        </is>
      </c>
      <c r="F24" s="6" t="inlineStr">
        <is>
          <t>★ 総作業時間の集計元。「労力が少ない」の唯一の証拠</t>
        </is>
      </c>
    </row>
    <row r="25" ht="28" customHeight="1">
      <c r="B25" s="7" t="n">
        <v>5</v>
      </c>
      <c r="C25" s="6" t="inlineStr">
        <is>
          <t>今日進めた工程（複数選択可）</t>
        </is>
      </c>
      <c r="D25" s="7" t="inlineStr">
        <is>
          <t>選択(複数)</t>
        </is>
      </c>
      <c r="E25" s="6" t="inlineStr">
        <is>
          <t>題材決め / 構成作成 / 本文作成 / タイトル・見出し / 価格設定 / 記事公開 / 告知・集客 / その他</t>
        </is>
      </c>
      <c r="F25" s="6" t="inlineStr">
        <is>
          <t>どの工程に時間がかかるかの特定</t>
        </is>
      </c>
    </row>
    <row r="26" ht="28" customHeight="1">
      <c r="B26" s="7" t="n">
        <v>6</v>
      </c>
      <c r="C26" s="6" t="inlineStr">
        <is>
          <t>AIで生成した文章の割合</t>
        </is>
      </c>
      <c r="D26" s="7" t="inlineStr">
        <is>
          <t>選択</t>
        </is>
      </c>
      <c r="E26" s="6" t="inlineStr">
        <is>
          <t>ほぼ全部（90%以上） / 大半（70%程度） / 半分くらい / 一部（30%程度） / ほぼ使わなかった</t>
        </is>
      </c>
      <c r="F26" s="6" t="inlineStr">
        <is>
          <t>★ AI活用度。「書けない人でもできる」の裏付け</t>
        </is>
      </c>
    </row>
    <row r="27" ht="28" customHeight="1">
      <c r="B27" s="7" t="n">
        <v>7</v>
      </c>
      <c r="C27" s="6" t="inlineStr">
        <is>
          <t>AIの文章に手直しは必要でしたか</t>
        </is>
      </c>
      <c r="D27" s="7" t="inlineStr">
        <is>
          <t>選択</t>
        </is>
      </c>
      <c r="E27" s="6" t="inlineStr">
        <is>
          <t>ほぼそのまま使えた / 少し直した / 半分くらい直した / 大幅に直した / 使えず自分で書き直した</t>
        </is>
      </c>
      <c r="F27" s="6" t="inlineStr">
        <is>
          <t>★ ツールの完成度。手直しが多ければ改善対象</t>
        </is>
      </c>
    </row>
    <row r="28" ht="28" customHeight="1">
      <c r="B28" s="7" t="n">
        <v>8</v>
      </c>
      <c r="C28" s="6" t="inlineStr">
        <is>
          <t>手直しした理由（複数選択可）</t>
        </is>
      </c>
      <c r="D28" s="7" t="inlineStr">
        <is>
          <t>選択(複数)</t>
        </is>
      </c>
      <c r="E28" s="6" t="inlineStr">
        <is>
          <t>自分の言葉になっていない / 内容が薄い / 事実と違う / 長すぎる・短すぎる / 構成が合わない / 手直しは不要だった</t>
        </is>
      </c>
      <c r="F28" s="6" t="inlineStr">
        <is>
          <t>プロンプト改善の直接材料</t>
        </is>
      </c>
    </row>
    <row r="29" ht="28" customHeight="1">
      <c r="B29" s="7" t="n">
        <v>9</v>
      </c>
      <c r="C29" s="6" t="inlineStr">
        <is>
          <t>今日つまずいた箇所</t>
        </is>
      </c>
      <c r="D29" s="7" t="inlineStr">
        <is>
          <t>記述</t>
        </is>
      </c>
      <c r="E29" s="6" t="inlineStr"/>
      <c r="F29" s="6" t="inlineStr">
        <is>
          <t>★ 教材・FAQに直結する最重要データ</t>
        </is>
      </c>
    </row>
    <row r="30" ht="28" customHeight="1">
      <c r="B30" s="7" t="n">
        <v>10</v>
      </c>
      <c r="C30" s="6" t="inlineStr">
        <is>
          <t>そのつまずきは解決しましたか</t>
        </is>
      </c>
      <c r="D30" s="7" t="inlineStr">
        <is>
          <t>選択</t>
        </is>
      </c>
      <c r="E30" s="6" t="inlineStr">
        <is>
          <t>自力で解決 / 教材を見て解決 / 質問して解決 / 未解決のまま</t>
        </is>
      </c>
      <c r="F30" s="6" t="inlineStr">
        <is>
          <t>教材だけで自走できるかの判定</t>
        </is>
      </c>
    </row>
    <row r="31" ht="28" customHeight="1">
      <c r="B31" s="7" t="n">
        <v>11</v>
      </c>
      <c r="C31" s="6" t="inlineStr">
        <is>
          <t>今日の負荷感</t>
        </is>
      </c>
      <c r="D31" s="7" t="inlineStr">
        <is>
          <t>選択</t>
        </is>
      </c>
      <c r="E31" s="6" t="inlineStr">
        <is>
          <t>余裕があった / ちょうどよかった / ややきつかった / かなりきつかった</t>
        </is>
      </c>
      <c r="F31" s="6" t="inlineStr">
        <is>
          <t>★ 主観的負荷。「労力が少ない」のもう一つの証拠</t>
        </is>
      </c>
    </row>
    <row r="32" ht="28" customHeight="1">
      <c r="B32" s="7" t="n">
        <v>12</v>
      </c>
      <c r="C32" s="6" t="inlineStr">
        <is>
          <t>売上は発生しましたか</t>
        </is>
      </c>
      <c r="D32" s="7" t="inlineStr">
        <is>
          <t>選択</t>
        </is>
      </c>
      <c r="E32" s="6" t="inlineStr">
        <is>
          <t>まだ / 発生した</t>
        </is>
      </c>
      <c r="F32" s="6" t="inlineStr">
        <is>
          <t>ゼロイチ達成の判定</t>
        </is>
      </c>
    </row>
    <row r="33" ht="28" customHeight="1">
      <c r="B33" s="7" t="n">
        <v>13</v>
      </c>
      <c r="C33" s="6" t="inlineStr">
        <is>
          <t>（発生した場合）金額と購入者数</t>
        </is>
      </c>
      <c r="D33" s="7" t="inlineStr">
        <is>
          <t>記述</t>
        </is>
      </c>
      <c r="E33" s="6" t="inlineStr"/>
      <c r="F33" s="6" t="inlineStr">
        <is>
          <t>達成内容の記録</t>
        </is>
      </c>
    </row>
    <row r="35">
      <c r="B35" s="3" t="inlineStr">
        <is>
          <t>フォームC｜完了サマリ（終了時に1回）</t>
        </is>
      </c>
    </row>
    <row r="36">
      <c r="B36" s="4" t="inlineStr">
        <is>
          <t>#</t>
        </is>
      </c>
      <c r="C36" s="4" t="inlineStr">
        <is>
          <t>設問</t>
        </is>
      </c>
      <c r="D36" s="4" t="inlineStr">
        <is>
          <t>回答形式</t>
        </is>
      </c>
      <c r="E36" s="4" t="inlineStr">
        <is>
          <t>選択肢</t>
        </is>
      </c>
      <c r="F36" s="4" t="inlineStr">
        <is>
          <t>何の証拠になるか</t>
        </is>
      </c>
    </row>
    <row r="37" ht="28" customHeight="1">
      <c r="B37" s="7" t="n">
        <v>1</v>
      </c>
      <c r="C37" s="6" t="inlineStr">
        <is>
          <t>お名前（ニックネーム可）</t>
        </is>
      </c>
      <c r="D37" s="7" t="inlineStr">
        <is>
          <t>記述</t>
        </is>
      </c>
      <c r="E37" s="6" t="inlineStr"/>
      <c r="F37" s="6" t="inlineStr">
        <is>
          <t>識別用</t>
        </is>
      </c>
    </row>
    <row r="38" ht="28" customHeight="1">
      <c r="B38" s="7" t="n">
        <v>2</v>
      </c>
      <c r="C38" s="6" t="inlineStr">
        <is>
          <t>ゼロイチを達成しましたか</t>
        </is>
      </c>
      <c r="D38" s="7" t="inlineStr">
        <is>
          <t>選択</t>
        </is>
      </c>
      <c r="E38" s="6" t="inlineStr">
        <is>
          <t>達成した / 達成できなかった</t>
        </is>
      </c>
      <c r="F38" s="6" t="inlineStr">
        <is>
          <t>★ 達成率の集計元</t>
        </is>
      </c>
    </row>
    <row r="39" ht="28" customHeight="1">
      <c r="B39" s="7" t="n">
        <v>3</v>
      </c>
      <c r="C39" s="6" t="inlineStr">
        <is>
          <t>初売上までの日数</t>
        </is>
      </c>
      <c r="D39" s="7" t="inlineStr">
        <is>
          <t>数値</t>
        </is>
      </c>
      <c r="E39" s="6" t="inlineStr"/>
      <c r="F39" s="6" t="inlineStr">
        <is>
          <t>★「◯日で達成」の根拠</t>
        </is>
      </c>
    </row>
    <row r="40" ht="28" customHeight="1">
      <c r="B40" s="7" t="n">
        <v>4</v>
      </c>
      <c r="C40" s="6" t="inlineStr">
        <is>
          <t>初売上までの総作業時間（時間）</t>
        </is>
      </c>
      <c r="D40" s="7" t="inlineStr">
        <is>
          <t>数値</t>
        </is>
      </c>
      <c r="E40" s="6" t="inlineStr"/>
      <c r="F40" s="6" t="inlineStr">
        <is>
          <t>★「総作業◯時間」の根拠。日次ログと突き合わせて検証</t>
        </is>
      </c>
    </row>
    <row r="41" ht="28" customHeight="1">
      <c r="B41" s="7" t="n">
        <v>5</v>
      </c>
      <c r="C41" s="6" t="inlineStr">
        <is>
          <t>売上金額 / 購入者数</t>
        </is>
      </c>
      <c r="D41" s="7" t="inlineStr">
        <is>
          <t>記述</t>
        </is>
      </c>
      <c r="E41" s="6" t="inlineStr"/>
      <c r="F41" s="6" t="inlineStr">
        <is>
          <t>達成内容</t>
        </is>
      </c>
    </row>
    <row r="42" ht="28" customHeight="1">
      <c r="B42" s="7" t="n">
        <v>6</v>
      </c>
      <c r="C42" s="6" t="inlineStr">
        <is>
          <t>最もつまずいた工程</t>
        </is>
      </c>
      <c r="D42" s="7" t="inlineStr">
        <is>
          <t>選択</t>
        </is>
      </c>
      <c r="E42" s="6" t="inlineStr">
        <is>
          <t>題材決め / 構成作成 / 本文作成 / 価格設定 / 記事公開 / 告知・集客</t>
        </is>
      </c>
      <c r="F42" s="6" t="inlineStr">
        <is>
          <t>教材の弱点特定</t>
        </is>
      </c>
    </row>
    <row r="43" ht="28" customHeight="1">
      <c r="B43" s="7" t="n">
        <v>7</v>
      </c>
      <c r="C43" s="6" t="inlineStr">
        <is>
          <t>教材で分かりにくかった点</t>
        </is>
      </c>
      <c r="D43" s="7" t="inlineStr">
        <is>
          <t>記述</t>
        </is>
      </c>
      <c r="E43" s="6" t="inlineStr"/>
      <c r="F43" s="6" t="inlineStr">
        <is>
          <t>改善材料</t>
        </is>
      </c>
    </row>
    <row r="44" ht="28" customHeight="1">
      <c r="B44" s="7" t="n">
        <v>8</v>
      </c>
      <c r="C44" s="6" t="inlineStr">
        <is>
          <t>一番役に立った点</t>
        </is>
      </c>
      <c r="D44" s="7" t="inlineStr">
        <is>
          <t>記述</t>
        </is>
      </c>
      <c r="E44" s="6" t="inlineStr"/>
      <c r="F44" s="6" t="inlineStr">
        <is>
          <t>セールス材料</t>
        </is>
      </c>
    </row>
    <row r="45" ht="28" customHeight="1">
      <c r="B45" s="7" t="n">
        <v>9</v>
      </c>
      <c r="C45" s="6" t="inlineStr">
        <is>
          <t>この講座を同じ状況の人に勧めますか（0〜10）</t>
        </is>
      </c>
      <c r="D45" s="7" t="inlineStr">
        <is>
          <t>数値</t>
        </is>
      </c>
      <c r="E45" s="6" t="inlineStr">
        <is>
          <t>0〜10</t>
        </is>
      </c>
      <c r="F45" s="6" t="inlineStr">
        <is>
          <t>推奨度。運営提示時の指標</t>
        </is>
      </c>
    </row>
    <row r="46" ht="28" customHeight="1">
      <c r="B46" s="7" t="n">
        <v>10</v>
      </c>
      <c r="C46" s="6" t="inlineStr">
        <is>
          <t>成果・体験談の公開可否</t>
        </is>
      </c>
      <c r="D46" s="7" t="inlineStr">
        <is>
          <t>選択</t>
        </is>
      </c>
      <c r="E46" s="6" t="inlineStr">
        <is>
          <t>実名で可 / ニックネームで可 / 匿名なら可 / 不可</t>
        </is>
      </c>
      <c r="F46" s="6" t="inlineStr">
        <is>
          <t>事例利用の許諾</t>
        </is>
      </c>
    </row>
    <row r="47" ht="28" customHeight="1">
      <c r="B47" s="7" t="n">
        <v>11</v>
      </c>
      <c r="C47" s="6" t="inlineStr">
        <is>
          <t>体験談（自由記述）</t>
        </is>
      </c>
      <c r="D47" s="7" t="inlineStr">
        <is>
          <t>記述</t>
        </is>
      </c>
      <c r="E47" s="6" t="inlineStr"/>
      <c r="F47" s="6" t="inlineStr">
        <is>
          <t>お客様の声</t>
        </is>
      </c>
    </row>
  </sheetData>
  <mergeCells count="4">
    <mergeCell ref="B2:F2"/>
    <mergeCell ref="B19:F19"/>
    <mergeCell ref="B5:F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85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14" customWidth="1" min="2" max="2"/>
    <col width="11" customWidth="1" min="3" max="3"/>
    <col width="6" customWidth="1" min="4" max="4"/>
    <col width="12" customWidth="1" min="5" max="5"/>
    <col width="18" customWidth="1" min="6" max="6"/>
    <col width="14" customWidth="1" min="7" max="7"/>
    <col width="14" customWidth="1" min="8" max="8"/>
    <col width="18" customWidth="1" min="9" max="9"/>
    <col width="30" customWidth="1" min="10" max="10"/>
    <col width="14" customWidth="1" min="11" max="11"/>
    <col width="14" customWidth="1" min="12" max="12"/>
    <col width="10" customWidth="1" min="13" max="13"/>
    <col width="18" customWidth="1" min="14" max="14"/>
  </cols>
  <sheetData>
    <row r="2">
      <c r="B2" s="1" t="inlineStr">
        <is>
          <t>日次ログ 記録表</t>
        </is>
      </c>
    </row>
    <row r="3">
      <c r="B3" s="2" t="inlineStr">
        <is>
          <t>※ Googleフォームの回答をここに貼り付けて蓄積します。この表のデータは⑤実証結果集計には直接使いません（集計は④を参照）。</t>
        </is>
      </c>
    </row>
    <row r="5">
      <c r="B5" s="4" t="inlineStr">
        <is>
          <t>参加者</t>
        </is>
      </c>
      <c r="C5" s="4" t="inlineStr">
        <is>
          <t>日付</t>
        </is>
      </c>
      <c r="D5" s="4" t="inlineStr">
        <is>
          <t>日目</t>
        </is>
      </c>
      <c r="E5" s="4" t="inlineStr">
        <is>
          <t>作業時間</t>
        </is>
      </c>
      <c r="F5" s="4" t="inlineStr">
        <is>
          <t>進めた工程</t>
        </is>
      </c>
      <c r="G5" s="4" t="inlineStr">
        <is>
          <t>AI生成割合</t>
        </is>
      </c>
      <c r="H5" s="4" t="inlineStr">
        <is>
          <t>手直しの程度</t>
        </is>
      </c>
      <c r="I5" s="4" t="inlineStr">
        <is>
          <t>手直しの理由</t>
        </is>
      </c>
      <c r="J5" s="4" t="inlineStr">
        <is>
          <t>つまずいた箇所</t>
        </is>
      </c>
      <c r="K5" s="4" t="inlineStr">
        <is>
          <t>解決状況</t>
        </is>
      </c>
      <c r="L5" s="4" t="inlineStr">
        <is>
          <t>負荷感</t>
        </is>
      </c>
      <c r="M5" s="4" t="inlineStr">
        <is>
          <t>売上発生</t>
        </is>
      </c>
      <c r="N5" s="4" t="inlineStr">
        <is>
          <t>金額・購入者数</t>
        </is>
      </c>
    </row>
    <row r="6"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</row>
    <row r="7"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</row>
    <row r="8"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</row>
    <row r="9"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</row>
    <row r="10"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</row>
    <row r="11"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</row>
    <row r="12"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</row>
    <row r="13"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</row>
    <row r="14"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</row>
    <row r="15"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</row>
    <row r="16"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</row>
    <row r="17"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</row>
    <row r="18"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</row>
    <row r="19"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</row>
    <row r="20"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</row>
    <row r="21"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</row>
    <row r="22"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</row>
    <row r="23"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</row>
    <row r="24"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</row>
    <row r="25"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</row>
    <row r="26"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</row>
    <row r="27"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</row>
    <row r="28"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</row>
    <row r="29"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</row>
    <row r="30"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</row>
    <row r="31"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</row>
    <row r="32"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</row>
    <row r="33"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</row>
    <row r="34"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</row>
    <row r="35"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</row>
    <row r="36"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</row>
    <row r="37"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</row>
    <row r="38"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</row>
    <row r="39"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</row>
    <row r="40"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</row>
    <row r="41"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</row>
    <row r="42"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</row>
    <row r="43"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</row>
    <row r="44"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</row>
    <row r="45"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</row>
    <row r="46"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</row>
    <row r="47"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</row>
    <row r="48"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</row>
    <row r="49"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</row>
    <row r="50"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</row>
    <row r="51"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</row>
    <row r="52"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</row>
    <row r="53"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</row>
    <row r="54"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</row>
    <row r="55"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</row>
    <row r="56"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</row>
    <row r="57"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</row>
    <row r="58"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</row>
    <row r="59"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</row>
    <row r="60"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</row>
    <row r="61"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</row>
    <row r="62"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</row>
    <row r="63"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</row>
    <row r="64"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</row>
    <row r="65"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</row>
    <row r="66"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</row>
    <row r="67"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</row>
    <row r="68"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</row>
    <row r="69"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</row>
    <row r="70"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</row>
    <row r="71"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</row>
    <row r="72"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</row>
    <row r="73"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</row>
    <row r="74"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</row>
    <row r="75"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</row>
    <row r="76"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</row>
    <row r="77"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</row>
    <row r="78"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</row>
    <row r="79"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</row>
    <row r="80"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</row>
    <row r="81"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</row>
    <row r="82"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</row>
    <row r="83"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</row>
    <row r="84"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</row>
    <row r="85"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</row>
  </sheetData>
  <mergeCells count="1">
    <mergeCell ref="B2:N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T2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14" customWidth="1" min="2" max="2"/>
    <col width="8" customWidth="1" min="3" max="3"/>
    <col width="10" customWidth="1" min="4" max="4"/>
    <col width="11" customWidth="1" min="5" max="5"/>
    <col width="11" customWidth="1" min="6" max="6"/>
    <col width="10" customWidth="1" min="7" max="7"/>
    <col width="9" customWidth="1" min="8" max="8"/>
    <col width="12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1" customWidth="1" min="16" max="16"/>
    <col width="12" customWidth="1" min="17" max="17"/>
    <col width="34" customWidth="1" min="18" max="18"/>
    <col width="15" customWidth="1" min="19" max="19"/>
    <col width="15" customWidth="1" min="20" max="20"/>
  </cols>
  <sheetData>
    <row r="2">
      <c r="B2" s="1" t="inlineStr">
        <is>
          <t>完了サマリ 記録表（1人1行）</t>
        </is>
      </c>
    </row>
    <row r="3">
      <c r="B3" s="2" t="inlineStr">
        <is>
          <t>※ ⑤実証結果集計は、この表の5〜19行目を参照しています。行の挿入は19行目より上で行ってください。</t>
        </is>
      </c>
    </row>
    <row r="4">
      <c r="B4" s="4" t="inlineStr">
        <is>
          <t>参加者</t>
        </is>
      </c>
      <c r="C4" s="4" t="inlineStr">
        <is>
          <t>陣</t>
        </is>
      </c>
      <c r="D4" s="4" t="inlineStr">
        <is>
          <t>達成/未達</t>
        </is>
      </c>
      <c r="E4" s="4" t="inlineStr">
        <is>
          <t>初売上までの日数</t>
        </is>
      </c>
      <c r="F4" s="4" t="inlineStr">
        <is>
          <t>総作業時間(h)</t>
        </is>
      </c>
      <c r="G4" s="4" t="inlineStr">
        <is>
          <t>売上金額</t>
        </is>
      </c>
      <c r="H4" s="4" t="inlineStr">
        <is>
          <t>購入者数</t>
        </is>
      </c>
      <c r="I4" s="4" t="inlineStr">
        <is>
          <t>開始時フォロワー</t>
        </is>
      </c>
      <c r="J4" s="4" t="inlineStr">
        <is>
          <t>本業形態</t>
        </is>
      </c>
      <c r="K4" s="4" t="inlineStr">
        <is>
          <t>1日の確保時間</t>
        </is>
      </c>
      <c r="L4" s="4" t="inlineStr">
        <is>
          <t>文章経験</t>
        </is>
      </c>
      <c r="M4" s="4" t="inlineStr">
        <is>
          <t>AI生成割合</t>
        </is>
      </c>
      <c r="N4" s="4" t="inlineStr">
        <is>
          <t>手直しの程度</t>
        </is>
      </c>
      <c r="O4" s="4" t="inlineStr">
        <is>
          <t>最もつまずいた工程</t>
        </is>
      </c>
      <c r="P4" s="4" t="inlineStr">
        <is>
          <t>推奨度(0-10)</t>
        </is>
      </c>
      <c r="Q4" s="4" t="inlineStr">
        <is>
          <t>公開可否</t>
        </is>
      </c>
      <c r="R4" s="4" t="inlineStr">
        <is>
          <t>体験談</t>
        </is>
      </c>
      <c r="S4" s="4" t="inlineStr">
        <is>
          <t>補助:達成者の日数</t>
        </is>
      </c>
      <c r="T4" s="4" t="inlineStr">
        <is>
          <t>補助:達成者の作業時間</t>
        </is>
      </c>
    </row>
    <row r="5"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7">
        <f>IF($D5="達成",$E5,"")</f>
        <v/>
      </c>
      <c r="T5" s="7">
        <f>IF($D5="達成",$F5,"")</f>
        <v/>
      </c>
    </row>
    <row r="6"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7">
        <f>IF($D6="達成",$E6,"")</f>
        <v/>
      </c>
      <c r="T6" s="7">
        <f>IF($D6="達成",$F6,"")</f>
        <v/>
      </c>
    </row>
    <row r="7"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7">
        <f>IF($D7="達成",$E7,"")</f>
        <v/>
      </c>
      <c r="T7" s="7">
        <f>IF($D7="達成",$F7,"")</f>
        <v/>
      </c>
    </row>
    <row r="8"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7">
        <f>IF($D8="達成",$E8,"")</f>
        <v/>
      </c>
      <c r="T8" s="7">
        <f>IF($D8="達成",$F8,"")</f>
        <v/>
      </c>
    </row>
    <row r="9"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7">
        <f>IF($D9="達成",$E9,"")</f>
        <v/>
      </c>
      <c r="T9" s="7">
        <f>IF($D9="達成",$F9,"")</f>
        <v/>
      </c>
    </row>
    <row r="10"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7">
        <f>IF($D10="達成",$E10,"")</f>
        <v/>
      </c>
      <c r="T10" s="7">
        <f>IF($D10="達成",$F10,"")</f>
        <v/>
      </c>
    </row>
    <row r="11"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7">
        <f>IF($D11="達成",$E11,"")</f>
        <v/>
      </c>
      <c r="T11" s="7">
        <f>IF($D11="達成",$F11,"")</f>
        <v/>
      </c>
    </row>
    <row r="12"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7">
        <f>IF($D12="達成",$E12,"")</f>
        <v/>
      </c>
      <c r="T12" s="7">
        <f>IF($D12="達成",$F12,"")</f>
        <v/>
      </c>
    </row>
    <row r="13"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7">
        <f>IF($D13="達成",$E13,"")</f>
        <v/>
      </c>
      <c r="T13" s="7">
        <f>IF($D13="達成",$F13,"")</f>
        <v/>
      </c>
    </row>
    <row r="14"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7">
        <f>IF($D14="達成",$E14,"")</f>
        <v/>
      </c>
      <c r="T14" s="7">
        <f>IF($D14="達成",$F14,"")</f>
        <v/>
      </c>
    </row>
    <row r="15"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7">
        <f>IF($D15="達成",$E15,"")</f>
        <v/>
      </c>
      <c r="T15" s="7">
        <f>IF($D15="達成",$F15,"")</f>
        <v/>
      </c>
    </row>
    <row r="16"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7">
        <f>IF($D16="達成",$E16,"")</f>
        <v/>
      </c>
      <c r="T16" s="7">
        <f>IF($D16="達成",$F16,"")</f>
        <v/>
      </c>
    </row>
    <row r="17"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7">
        <f>IF($D17="達成",$E17,"")</f>
        <v/>
      </c>
      <c r="T17" s="7">
        <f>IF($D17="達成",$F17,"")</f>
        <v/>
      </c>
    </row>
    <row r="18"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7">
        <f>IF($D18="達成",$E18,"")</f>
        <v/>
      </c>
      <c r="T18" s="7">
        <f>IF($D18="達成",$F18,"")</f>
        <v/>
      </c>
    </row>
    <row r="19"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7">
        <f>IF($D19="達成",$E19,"")</f>
        <v/>
      </c>
      <c r="T19" s="7">
        <f>IF($D19="達成",$F19,"")</f>
        <v/>
      </c>
    </row>
    <row r="21">
      <c r="B21" s="2" t="inlineStr">
        <is>
          <t>凡例：黄色セルが入力欄です。「陣」は「第1陣」「第2陣」、「達成/未達」は「達成」「未達」と入力してください（⑤の集計がこの表記を参照しています）。</t>
        </is>
      </c>
      <c r="S21" s="2" t="inlineStr">
        <is>
          <t>補助列S・Tは⑤実証結果集計の最短/最長の算出に使用します。手入力しないでください。</t>
        </is>
      </c>
    </row>
  </sheetData>
  <mergeCells count="1">
    <mergeCell ref="B2:R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30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58" customWidth="1" min="4" max="4"/>
  </cols>
  <sheetData>
    <row r="1"/>
    <row r="2">
      <c r="B2" s="1" t="inlineStr">
        <is>
          <t>実証結果 集計（運営提示用）</t>
        </is>
      </c>
    </row>
    <row r="3">
      <c r="B3" s="2" t="inlineStr">
        <is>
          <t>※ 数値は④完了サマリから自動計算されます。データ未入力の間は「-」と表示されます。</t>
        </is>
      </c>
    </row>
    <row r="4"/>
    <row r="5">
      <c r="B5" s="3" t="inlineStr">
        <is>
          <t>全体</t>
        </is>
      </c>
    </row>
    <row r="6">
      <c r="B6" s="4" t="inlineStr">
        <is>
          <t>指標</t>
        </is>
      </c>
      <c r="C6" s="4" t="inlineStr">
        <is>
          <t>値</t>
        </is>
      </c>
      <c r="D6" s="4" t="inlineStr">
        <is>
          <t>備考</t>
        </is>
      </c>
    </row>
    <row r="7">
      <c r="B7" s="6" t="inlineStr">
        <is>
          <t>参加者数（除外者を除く）</t>
        </is>
      </c>
      <c r="C7" s="7">
        <f>COUNTA('④完了サマリ'!B5:B19)</f>
        <v/>
      </c>
      <c r="D7" s="6" t="inlineStr">
        <is>
          <t>④に記録された人数</t>
        </is>
      </c>
    </row>
    <row r="8">
      <c r="B8" s="6" t="inlineStr">
        <is>
          <t>達成者数</t>
        </is>
      </c>
      <c r="C8" s="7">
        <f>COUNTIF('④完了サマリ'!D5:D19,"達成")</f>
        <v/>
      </c>
      <c r="D8" s="6" t="inlineStr"/>
    </row>
    <row r="9">
      <c r="B9" s="6" t="inlineStr">
        <is>
          <t>達成率</t>
        </is>
      </c>
      <c r="C9" s="15">
        <f>IF($C$7=0,"-",$C$8/$C$7)</f>
        <v/>
      </c>
      <c r="D9" s="6" t="inlineStr">
        <is>
          <t>運営提示時の中心指標</t>
        </is>
      </c>
    </row>
    <row r="10">
      <c r="B10" s="6" t="inlineStr">
        <is>
          <t>平均 初売上までの日数</t>
        </is>
      </c>
      <c r="C10" s="16">
        <f>IF($C$8=0,"-",AVERAGEIFS('④完了サマリ'!E5:E19,'④完了サマリ'!D5:D19,"達成"))</f>
        <v/>
      </c>
      <c r="D10" s="6" t="inlineStr">
        <is>
          <t>達成者のみで算出</t>
        </is>
      </c>
    </row>
    <row r="11">
      <c r="B11" s="6" t="inlineStr">
        <is>
          <t>最短 初売上までの日数</t>
        </is>
      </c>
      <c r="C11" s="16">
        <f>IF($C$8=0,"-",MIN('④完了サマリ'!S5:S19))</f>
        <v/>
      </c>
      <c r="D11" s="6" t="inlineStr"/>
    </row>
    <row r="12">
      <c r="B12" s="6" t="inlineStr">
        <is>
          <t>最長 初売上までの日数</t>
        </is>
      </c>
      <c r="C12" s="16">
        <f>IF($C$8=0,"-",MAX('④完了サマリ'!S5:S19))</f>
        <v/>
      </c>
      <c r="D12" s="6" t="inlineStr"/>
    </row>
    <row r="13">
      <c r="B13" s="9" t="inlineStr">
        <is>
          <t>平均 総作業時間（時間）</t>
        </is>
      </c>
      <c r="C13" s="16">
        <f>IF($C$8=0,"-",AVERAGEIFS('④完了サマリ'!F5:F19,'④完了サマリ'!D5:D19,"達成"))</f>
        <v/>
      </c>
      <c r="D13" s="6" t="inlineStr">
        <is>
          <t>★ 差別化の中核指標</t>
        </is>
      </c>
    </row>
    <row r="14">
      <c r="B14" s="6" t="inlineStr">
        <is>
          <t>最短 総作業時間（時間）</t>
        </is>
      </c>
      <c r="C14" s="16">
        <f>IF($C$8=0,"-",MIN('④完了サマリ'!T5:T19))</f>
        <v/>
      </c>
      <c r="D14" s="6" t="inlineStr"/>
    </row>
    <row r="15">
      <c r="B15" s="6" t="inlineStr">
        <is>
          <t>平均 推奨度（0-10）</t>
        </is>
      </c>
      <c r="C15" s="16">
        <f>IF($C$8=0,"-",AVERAGEIFS('④完了サマリ'!P5:P19,'④完了サマリ'!D5:D19,"達成"))</f>
        <v/>
      </c>
      <c r="D15" s="6" t="inlineStr"/>
    </row>
    <row r="16"/>
    <row r="17">
      <c r="B17" s="3" t="inlineStr">
        <is>
          <t>陣別（改善効果を示す）</t>
        </is>
      </c>
    </row>
    <row r="18">
      <c r="B18" s="4" t="inlineStr">
        <is>
          <t>指標</t>
        </is>
      </c>
      <c r="C18" s="4" t="inlineStr">
        <is>
          <t>値</t>
        </is>
      </c>
      <c r="D18" s="4" t="inlineStr">
        <is>
          <t>備考</t>
        </is>
      </c>
    </row>
    <row r="19">
      <c r="B19" s="6" t="inlineStr">
        <is>
          <t>第1陣 参加者数</t>
        </is>
      </c>
      <c r="C19" s="7">
        <f>COUNTIF('④完了サマリ'!C5:C19,"第1陣")</f>
        <v/>
      </c>
      <c r="D19" s="6" t="inlineStr">
        <is>
          <t>検証目的。達成率は実証数字に含めない</t>
        </is>
      </c>
    </row>
    <row r="20">
      <c r="B20" s="6" t="inlineStr">
        <is>
          <t>第1陣 達成者数</t>
        </is>
      </c>
      <c r="C20" s="7">
        <f>COUNTIFS('④完了サマリ'!C5:C19,"第1陣",'④完了サマリ'!D5:D19,"達成")</f>
        <v/>
      </c>
      <c r="D20" s="6" t="inlineStr"/>
    </row>
    <row r="21">
      <c r="B21" s="6" t="inlineStr">
        <is>
          <t>第2陣 参加者数</t>
        </is>
      </c>
      <c r="C21" s="7">
        <f>COUNTIF('④完了サマリ'!C5:C19,"第2陣")</f>
        <v/>
      </c>
      <c r="D21" s="6" t="inlineStr">
        <is>
          <t>改善後の本番</t>
        </is>
      </c>
    </row>
    <row r="22">
      <c r="B22" s="6" t="inlineStr">
        <is>
          <t>第2陣 達成者数</t>
        </is>
      </c>
      <c r="C22" s="7">
        <f>COUNTIFS('④完了サマリ'!C5:C19,"第2陣",'④完了サマリ'!D5:D19,"達成")</f>
        <v/>
      </c>
      <c r="D22" s="6" t="inlineStr"/>
    </row>
    <row r="23">
      <c r="B23" s="9" t="inlineStr">
        <is>
          <t>第2陣 達成率</t>
        </is>
      </c>
      <c r="C23" s="15">
        <f>IF(COUNTIFS('④完了サマリ'!C5:C19,"第2陣")=0,"-",COUNTIFS('④完了サマリ'!C5:C19,"第2陣",'④完了サマリ'!D5:D19,"達成")/COUNTIFS('④完了サマリ'!C5:C19,"第2陣"))</f>
        <v/>
      </c>
      <c r="D23" s="6" t="inlineStr">
        <is>
          <t>★ 運営に提示する数字はこれ</t>
        </is>
      </c>
    </row>
    <row r="24"/>
    <row r="25">
      <c r="B25" s="3" t="inlineStr">
        <is>
          <t>運営提示用サマリ（実証完了後に手書きで清書する）</t>
        </is>
      </c>
    </row>
    <row r="26">
      <c r="B26" s="11" t="inlineStr">
        <is>
          <t>例）フォロワー0の新規アカウントから、7名中◯名が◯日以内にnoteで初売上を達成。</t>
        </is>
      </c>
    </row>
    <row r="27">
      <c r="B27" s="11" t="inlineStr">
        <is>
          <t xml:space="preserve">　　平均総作業時間は◯時間。うち◯名はフルタイム勤務・文章未経験。</t>
        </is>
      </c>
    </row>
    <row r="28">
      <c r="B28" s="11" t="inlineStr">
        <is>
          <t xml:space="preserve">　　文章の◯割はAIが生成し、手直しは「少し直した」以下が◯名。</t>
        </is>
      </c>
    </row>
    <row r="29">
      <c r="B29" s="12" t="inlineStr">
        <is>
          <t>※ 上の数字は集計結果を転記して使用します。検証されていない数値を売り文句にしないこと</t>
        </is>
      </c>
    </row>
    <row r="30">
      <c r="B30" s="12" t="inlineStr">
        <is>
          <t xml:space="preserve">　（Step4-3「誇大な表現で煽って売る人、根拠のない約束をする人」に自分が該当しないため）。</t>
        </is>
      </c>
    </row>
  </sheetData>
  <mergeCells count="9">
    <mergeCell ref="B28:D28"/>
    <mergeCell ref="B5:D5"/>
    <mergeCell ref="B17:D17"/>
    <mergeCell ref="B27:D27"/>
    <mergeCell ref="B26:D26"/>
    <mergeCell ref="B30:D30"/>
    <mergeCell ref="B29:D29"/>
    <mergeCell ref="B25:D25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2026-08-08T03:21:16Z</dcterms:created>
  <dcterms:modified xsi:type="dcterms:W3CDTF">2026-08-08T03:26:15Z</dcterms:modified>
</cp:coreProperties>
</file>